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mc:AlternateContent xmlns:mc="http://schemas.openxmlformats.org/markup-compatibility/2006">
    <mc:Choice Requires="x15">
      <x15ac:absPath xmlns:x15ac="http://schemas.microsoft.com/office/spreadsheetml/2010/11/ac" url="https://daihocphenikaa.sharepoint.com/sites/KhoaCNTT-oto/Shared Documents/Đào Tạo và Quản Lý/03. Khung CTDT/Khung Final/K16/"/>
    </mc:Choice>
  </mc:AlternateContent>
  <xr:revisionPtr revIDLastSave="15" documentId="13_ncr:1_{488B7677-3F36-BF45-9C98-A45C3610B516}" xr6:coauthVersionLast="47" xr6:coauthVersionMax="47" xr10:uidLastSave="{8C08F2D1-D750-DA4A-AD31-43E29ECB9E65}"/>
  <bookViews>
    <workbookView xWindow="0" yWindow="760" windowWidth="30240" windowHeight="18880" xr2:uid="{00000000-000D-0000-FFFF-FFFF00000000}"/>
  </bookViews>
  <sheets>
    <sheet name="Sheet2" sheetId="2" r:id="rId1"/>
  </sheets>
  <definedNames>
    <definedName name="_xlnm.Print_Area" localSheetId="0">Sheet2!$A$1:$U$102</definedName>
    <definedName name="_xlnm.Print_Titles" localSheetId="0">Sheet2!#REF!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2" l="1"/>
  <c r="E47" i="2"/>
  <c r="D47" i="2"/>
  <c r="F85" i="2" l="1"/>
  <c r="E85" i="2"/>
  <c r="D85" i="2"/>
  <c r="E57" i="2"/>
  <c r="F57" i="2"/>
  <c r="D57" i="2"/>
  <c r="D10" i="2"/>
  <c r="I7" i="2" a="1"/>
  <c r="I7" i="2" s="1"/>
  <c r="H7" i="2" a="1"/>
  <c r="H7" i="2" s="1"/>
  <c r="G7" i="2" a="1"/>
  <c r="G7" i="2" s="1"/>
  <c r="E10" i="2"/>
  <c r="F30" i="2" l="1"/>
  <c r="E30" i="2"/>
  <c r="D30" i="2"/>
  <c r="F10" i="2"/>
  <c r="Q7" i="2" a="1"/>
  <c r="Q7" i="2" s="1"/>
  <c r="P7" i="2" a="1"/>
  <c r="P7" i="2" s="1"/>
  <c r="O7" i="2" a="1"/>
  <c r="O7" i="2" s="1"/>
  <c r="N7" i="2" a="1"/>
  <c r="N7" i="2" s="1"/>
  <c r="M7" i="2" a="1"/>
  <c r="M7" i="2" s="1"/>
  <c r="L7" i="2" a="1"/>
  <c r="L7" i="2" s="1"/>
  <c r="K7" i="2" a="1"/>
  <c r="K7" i="2" s="1"/>
  <c r="J7" i="2" a="1"/>
  <c r="J7" i="2" s="1"/>
  <c r="D9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Trang Mai Xuan</author>
  </authors>
  <commentList>
    <comment ref="B81" authorId="0" shapeId="0" xr:uid="{48B82063-3932-0B4C-9A93-5A8CA7BB6BE2}">
      <text>
        <r>
          <rPr>
            <b/>
            <sz val="18"/>
            <color rgb="FF000000"/>
            <rFont val="Calibri"/>
            <family val="2"/>
          </rPr>
          <t>Thêm cho tự chọn tự do</t>
        </r>
      </text>
    </comment>
    <comment ref="B82" authorId="0" shapeId="0" xr:uid="{0F7BB282-C4C1-4241-800F-EFCDDEFCCACD}">
      <text>
        <r>
          <rPr>
            <b/>
            <sz val="10"/>
            <color rgb="FF000000"/>
            <rFont val="Tahoma"/>
            <family val="2"/>
          </rPr>
          <t>Thêm cho tự chọn tự do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<sst xmlns="http://schemas.openxmlformats.org/spreadsheetml/2006/main" count="215" uniqueCount="183">
  <si>
    <r>
      <t xml:space="preserve">BỘ GIÁO DỤC VÀ ĐÀO TẠO
</t>
    </r>
    <r>
      <rPr>
        <b/>
        <sz val="13"/>
        <color theme="1"/>
        <rFont val="Times New Roman"/>
        <family val="1"/>
      </rPr>
      <t>TRƯỜNG ĐẠI HỌC PHENIKAA</t>
    </r>
  </si>
  <si>
    <t>CỘNG HÒA XÃ HỘI CHỦ NGHĨA VIỆT NAM
Độc lập - Tự do - Hạnh phúc</t>
  </si>
  <si>
    <r>
      <t xml:space="preserve">KHUNG CHƯƠNG TRÌNH ĐÀO TẠO
</t>
    </r>
    <r>
      <rPr>
        <i/>
        <sz val="13"/>
        <color theme="1"/>
        <rFont val="Times New Roman"/>
        <family val="1"/>
      </rPr>
      <t>(Ban hành theo Quyết định số:      /QĐ-ĐHP-ĐT ngày    tháng    năm 2023
của Hiệu trưởng Trường Đại học PHENIKAA)</t>
    </r>
  </si>
  <si>
    <t xml:space="preserve">Tên chương trình đào tạo: Khoa học dự liệu và Trí tuệ nhân tạo
Ngành đào tạo:  Khoa học máy tính
Hình thức đào tạo: Chính quy; </t>
  </si>
  <si>
    <t>Trình độ đào tạo: Đại học;
Mã số: 7480102
Áp dụng: Khoá 16</t>
  </si>
  <si>
    <t>TT</t>
  </si>
  <si>
    <t>Mã HP</t>
  </si>
  <si>
    <t>Tên HP</t>
  </si>
  <si>
    <t>Số TC</t>
  </si>
  <si>
    <t>Năm học</t>
  </si>
  <si>
    <t>HP tiên quyết</t>
  </si>
  <si>
    <t>HP Học trước</t>
  </si>
  <si>
    <t>HP song hành</t>
  </si>
  <si>
    <t>Khoa Quản lý</t>
  </si>
  <si>
    <t>Học kỳ</t>
  </si>
  <si>
    <t>LT</t>
  </si>
  <si>
    <t>TH</t>
  </si>
  <si>
    <t>A. Khối kiến thức giáo dục đại cương</t>
  </si>
  <si>
    <t>(Tổng số: 42 tín chỉ, trong đó bắt buộc: 36 tín chỉ, tự chọn: 6 tín chỉ)</t>
  </si>
  <si>
    <t>A1</t>
  </si>
  <si>
    <t>Các học phần bắt buộc</t>
  </si>
  <si>
    <t>FFS702001</t>
  </si>
  <si>
    <t>Pháp luật đại cương</t>
  </si>
  <si>
    <t>FFS703007</t>
  </si>
  <si>
    <t>Đại số tuyến tính</t>
  </si>
  <si>
    <t>FFS703013</t>
  </si>
  <si>
    <t>Vật lý 1</t>
  </si>
  <si>
    <t>FFS703014</t>
  </si>
  <si>
    <t>Vật lý 2</t>
  </si>
  <si>
    <t>FFS703008</t>
  </si>
  <si>
    <t>Giải tích</t>
  </si>
  <si>
    <t>FFS703002</t>
  </si>
  <si>
    <t>Triết học Mác - Lê nin</t>
  </si>
  <si>
    <t>FEL703001</t>
  </si>
  <si>
    <t>Tiếng Anh 1</t>
  </si>
  <si>
    <t>FEL703002</t>
  </si>
  <si>
    <t>Tiếng Anh 2</t>
  </si>
  <si>
    <t>FFS703010</t>
  </si>
  <si>
    <t>Lý thuyết xác suất thống kê</t>
  </si>
  <si>
    <t>FFS702003</t>
  </si>
  <si>
    <t>Kinh tế chính trị Mác - Lênin</t>
  </si>
  <si>
    <t>FEL702003</t>
  </si>
  <si>
    <t>Tiếng Anh 3</t>
  </si>
  <si>
    <t>FFS702004</t>
  </si>
  <si>
    <t>Chủ nghĩa xã hội khoa học</t>
  </si>
  <si>
    <t>FFS702005</t>
  </si>
  <si>
    <t>Lịch sử Đảng cộng sản Việt Nam</t>
  </si>
  <si>
    <t>FFS702006</t>
  </si>
  <si>
    <t>Tư tưởng Hồ Chí Minh</t>
  </si>
  <si>
    <t>A2</t>
  </si>
  <si>
    <t>Tự chọn tự do</t>
  </si>
  <si>
    <t>CSE702000</t>
  </si>
  <si>
    <r>
      <t xml:space="preserve">Tự chọn tự do 2
</t>
    </r>
    <r>
      <rPr>
        <i/>
        <sz val="12"/>
        <color theme="1"/>
        <rFont val="Times New Roman"/>
        <family val="1"/>
      </rPr>
      <t>(Chọn 01 học phần 2 tín chỉ)</t>
    </r>
  </si>
  <si>
    <t>CSE702400</t>
  </si>
  <si>
    <r>
      <t xml:space="preserve">Tự chọn tự do 4
</t>
    </r>
    <r>
      <rPr>
        <i/>
        <sz val="12"/>
        <color theme="1"/>
        <rFont val="Times New Roman"/>
        <family val="1"/>
      </rPr>
      <t>(Chọn 02 học phần 2 tín chỉ)</t>
    </r>
  </si>
  <si>
    <t>B. Khối kiến thức cơ sở ngành</t>
  </si>
  <si>
    <t>(Tổng số: 36 tín chỉ, trong đó bắt buộc: 36 tín chỉ, tự chọn: 0 tín chỉ)</t>
  </si>
  <si>
    <t>B1</t>
  </si>
  <si>
    <t>CSE702040</t>
  </si>
  <si>
    <t>Nhập môn Công nghệ thông tin</t>
  </si>
  <si>
    <t>CSE703038</t>
  </si>
  <si>
    <t>Ngôn ngữ lập trình C</t>
  </si>
  <si>
    <t>CSE703006</t>
  </si>
  <si>
    <t>Cấu trúc dữ liệu và thuật toán</t>
  </si>
  <si>
    <t>CSE703024</t>
  </si>
  <si>
    <t>Toán rời rạc</t>
  </si>
  <si>
    <t>CSE702028</t>
  </si>
  <si>
    <t>Lập trình cho trí tuệ nhân tạo</t>
  </si>
  <si>
    <t>CSE703057</t>
  </si>
  <si>
    <t>Tối ưu hoá</t>
  </si>
  <si>
    <t xml:space="preserve">FFS703007; FFS703008; CSE703024 </t>
  </si>
  <si>
    <t>CSE703008</t>
  </si>
  <si>
    <t>Cơ sở dữ liệu</t>
  </si>
  <si>
    <t>CSE703023</t>
  </si>
  <si>
    <t>Kiến trúc máy tính</t>
  </si>
  <si>
    <t>CSE703020</t>
  </si>
  <si>
    <t>Học máy</t>
  </si>
  <si>
    <t>FFS703007; FFS703008</t>
  </si>
  <si>
    <t>CSE703047</t>
  </si>
  <si>
    <t>Phương pháp số cho học máy</t>
  </si>
  <si>
    <t>CSE703004</t>
  </si>
  <si>
    <t>An toàn và bảo mật thông tin</t>
  </si>
  <si>
    <t>CSE703041</t>
  </si>
  <si>
    <t>Nhập môn trí tuệ nhân tạo</t>
  </si>
  <si>
    <t>CSE702011</t>
  </si>
  <si>
    <t>Điện toán đám mây</t>
  </si>
  <si>
    <t>CSE702036</t>
  </si>
  <si>
    <t>B2</t>
  </si>
  <si>
    <t>Các học phần tự chọn</t>
  </si>
  <si>
    <t>C. Khối kiến thức bổ trợ</t>
  </si>
  <si>
    <t>(Tổng số: 6 tín chỉ, trong đó bắt buộc: 4 tín chỉ, tự chọn: 2 tín chỉ)</t>
  </si>
  <si>
    <t>C1</t>
  </si>
  <si>
    <t>CSE702117</t>
  </si>
  <si>
    <t>Kỹ năng viết và thuyết trình bằng tiếng Anh</t>
  </si>
  <si>
    <t>FBE702001</t>
  </si>
  <si>
    <t>Quản trị học</t>
  </si>
  <si>
    <t>C2</t>
  </si>
  <si>
    <t>Các học phần tự chọn bổ trợ</t>
  </si>
  <si>
    <t>FTS702002</t>
  </si>
  <si>
    <t>Kỹ năng quản lý dự án</t>
  </si>
  <si>
    <t>FTS702004</t>
  </si>
  <si>
    <t>Kỹ năng tư duy sáng tạo và phản biện</t>
  </si>
  <si>
    <t>FTS702001</t>
  </si>
  <si>
    <t>Kỹ năng khởi nghiệp và lãnh đạo</t>
  </si>
  <si>
    <t>FTS702003</t>
  </si>
  <si>
    <t>Kỹ năng đàm phán, thương lượng</t>
  </si>
  <si>
    <t>D. Khối kiến thức chuyên ngành</t>
  </si>
  <si>
    <t>(Tổng số: 27 tín chỉ, trong đó bắt buộc: 15 tín chỉ, tự chọn: 12 tín chỉ)</t>
  </si>
  <si>
    <t>D1</t>
  </si>
  <si>
    <t>CSE702025</t>
  </si>
  <si>
    <t>Kỹ thuật phần mềm</t>
  </si>
  <si>
    <t>CSE703065</t>
  </si>
  <si>
    <t>Xử lý ngôn ngữ tự nhiên</t>
  </si>
  <si>
    <t>EEE703091</t>
  </si>
  <si>
    <t>Xử lý ảnh</t>
  </si>
  <si>
    <t>CSE702022</t>
  </si>
  <si>
    <t>Khai phá dữ liệu</t>
  </si>
  <si>
    <t>EEE703035</t>
  </si>
  <si>
    <t>Học sâu</t>
  </si>
  <si>
    <t>CSE702055</t>
  </si>
  <si>
    <t>Tiếng Anh chuyên ngành</t>
  </si>
  <si>
    <t>D2</t>
  </si>
  <si>
    <t>Tự chọn chuyên ngành</t>
  </si>
  <si>
    <t>CSE703064</t>
  </si>
  <si>
    <t>Xây dựng ứng dụng web</t>
  </si>
  <si>
    <t>CSE703042</t>
  </si>
  <si>
    <t>Xử lý ngôn ngữ tự nhiên nâng cao</t>
  </si>
  <si>
    <t>APIS đang bị nhầm với học phần CSE703065 (Check lại với PĐT)</t>
  </si>
  <si>
    <t>CSE703081</t>
  </si>
  <si>
    <t>Học máy nâng cao</t>
  </si>
  <si>
    <t>CSE703052</t>
  </si>
  <si>
    <t>Thuật toán ứng dụng</t>
  </si>
  <si>
    <t>Mạng máy tính</t>
  </si>
  <si>
    <t>Tự chọn tự do (Tiên quyết cho điện toán đám mây)</t>
  </si>
  <si>
    <t>CSE703029</t>
  </si>
  <si>
    <t>Lập trình hướng đối tượng</t>
  </si>
  <si>
    <t>EEE703068</t>
  </si>
  <si>
    <t>Thị giác máy tính</t>
  </si>
  <si>
    <t>CSE703016</t>
  </si>
  <si>
    <t>Giao diện người máy</t>
  </si>
  <si>
    <t>CSE703054</t>
  </si>
  <si>
    <t>Tích hợp và phân tích dữ liệu lớn</t>
  </si>
  <si>
    <t>CSE703006; CSE703008</t>
  </si>
  <si>
    <t>CSE703032</t>
  </si>
  <si>
    <t>Lập trình song song</t>
  </si>
  <si>
    <t>CSE702046</t>
  </si>
  <si>
    <t>Phân tích nghiệp vụ kinh doanh</t>
  </si>
  <si>
    <t>CSE702044</t>
  </si>
  <si>
    <t>Phân tích dữ liệu chuỗi thời gian</t>
  </si>
  <si>
    <t>CSE703045</t>
  </si>
  <si>
    <t>Phân tích dữ liệu đồ thị</t>
  </si>
  <si>
    <t>CSE703056</t>
  </si>
  <si>
    <t>Tính toán lượng tử cho học máy</t>
  </si>
  <si>
    <t>CSE702059</t>
  </si>
  <si>
    <t>Trí tuệ nhân tạo trên thiết bị đầu cuối</t>
  </si>
  <si>
    <t>CSE702062</t>
  </si>
  <si>
    <t>Ứng dụng AI trong nghệ thuật</t>
  </si>
  <si>
    <t>CSE702017</t>
  </si>
  <si>
    <t>Hệ điều hành</t>
  </si>
  <si>
    <t>CSE702049</t>
  </si>
  <si>
    <t>Quản trị dự án công nghệ thông tin</t>
  </si>
  <si>
    <t>E. Thực tập, Đồ án/ Khóa luận tốt nghiệp</t>
  </si>
  <si>
    <t>(Tổng số: 21 tín chỉ, trong đó bắt buộc: 21 tín chỉ, tự chọn: 0 tín chỉ)</t>
  </si>
  <si>
    <t>E1</t>
  </si>
  <si>
    <t>Các học phần chính</t>
  </si>
  <si>
    <t>CSE702127</t>
  </si>
  <si>
    <t>Đồ án cơ sở</t>
  </si>
  <si>
    <t>CSE703014</t>
  </si>
  <si>
    <t>Đồ án liên ngành</t>
  </si>
  <si>
    <t>CSE702053</t>
  </si>
  <si>
    <t>Thực tập công nghiệp</t>
  </si>
  <si>
    <t>CSE704067</t>
  </si>
  <si>
    <t>Thực tập tốt nghiệp</t>
  </si>
  <si>
    <t>CSE710112</t>
  </si>
  <si>
    <t>Đồ án tốt nghiệp</t>
  </si>
  <si>
    <t>E2</t>
  </si>
  <si>
    <t>Học phần thay thế Đồ án tốt nghiệp</t>
  </si>
  <si>
    <t>Tổng STC</t>
  </si>
  <si>
    <t>TRƯỞNG KHOA</t>
  </si>
  <si>
    <t>Chú ý cho sinh viên</t>
  </si>
  <si>
    <t>Khuyến nghị tự chọn chuyên ngành</t>
  </si>
  <si>
    <t>Chọn là tự chọn tự do</t>
  </si>
  <si>
    <t>(Tự chọn tự do: có thể chọn các học phần trong các chương trình đào tạo của khoa CNTT)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</si>
</sst>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rgb="FF000000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1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5" fillId="4" borderId="0" xfId="0" applyFont="1" applyFill="1"/>
    <xf numFmtId="0" fontId="5" fillId="3" borderId="0" xfId="0" applyFont="1" applyFill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10" fillId="5" borderId="0" xfId="0" applyFont="1" applyFill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520958</xdr:colOff>
      <xdr:row>0</xdr:row>
      <xdr:rowOff>525763</xdr:rowOff>
    </xdr:from>
    <xdr:to>
      <xdr:col>2</xdr:col>
      <xdr:colOff>1427410</xdr:colOff>
      <xdr:row>0</xdr:row>
      <xdr:rowOff>525763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8F9FD69-FA72-49C0-B49A-757FE87DEC37}"/>
            </a:ext>
          </a:extLst>
        </xdr:cNvPr>
        <xdr:cNvCxnSpPr/>
      </xdr:nvCxnSpPr>
      <xdr:spPr>
        <a:xfrm>
          <a:off x="988222" y="525763"/>
          <a:ext cx="190088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196648</xdr:colOff>
      <xdr:row>0</xdr:row>
      <xdr:rowOff>534389</xdr:rowOff>
    </xdr:from>
    <xdr:to>
      <xdr:col>18</xdr:col>
      <xdr:colOff>510953</xdr:colOff>
      <xdr:row>0</xdr:row>
      <xdr:rowOff>534389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5AD5976-D3D8-B54B-B528-2D847BB4D665}"/>
            </a:ext>
          </a:extLst>
        </xdr:cNvPr>
        <xdr:cNvCxnSpPr/>
      </xdr:nvCxnSpPr>
      <xdr:spPr>
        <a:xfrm>
          <a:off x="7529101" y="534389"/>
          <a:ext cx="17280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10"/>
  <sheetViews>
    <sheetView tabSelected="1" zoomScale="106" zoomScaleNormal="130" workbookViewId="0">
      <selection activeCell="U102" sqref="A1:U102"/>
    </sheetView>
  </sheetViews>
  <sheetFormatPr defaultColWidth="9.140625" defaultRowHeight="14.1"/>
  <cols>
    <col min="1" max="1" width="6.140625" style="17" customWidth="1"/>
    <col min="2" max="2" width="13" style="18" customWidth="1"/>
    <col min="3" max="3" width="32.42578125" style="17" customWidth="1"/>
    <col min="4" max="6" width="7" style="18" bestFit="1" customWidth="1"/>
    <col min="7" max="9" width="3.28515625" style="23" customWidth="1"/>
    <col min="10" max="17" width="3.28515625" style="17" customWidth="1"/>
    <col min="18" max="18" width="12" style="17" customWidth="1"/>
    <col min="19" max="19" width="12" style="18" customWidth="1"/>
    <col min="20" max="20" width="10.42578125" style="17" customWidth="1"/>
    <col min="21" max="21" width="9.140625" style="17"/>
    <col min="22" max="22" width="54.42578125" style="17" customWidth="1"/>
    <col min="23" max="16384" width="9.140625" style="17"/>
  </cols>
  <sheetData>
    <row r="1" spans="1:21" s="15" customFormat="1" ht="46.5" customHeight="1">
      <c r="A1" s="48" t="s">
        <v>0</v>
      </c>
      <c r="B1" s="48"/>
      <c r="C1" s="48"/>
      <c r="D1" s="16"/>
      <c r="E1" s="16"/>
      <c r="F1" s="16"/>
      <c r="G1" s="16"/>
      <c r="H1" s="16"/>
      <c r="I1" s="51" t="s">
        <v>1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s="15" customFormat="1" ht="56.25" customHeight="1">
      <c r="A2" s="51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s="15" customFormat="1" ht="56.25" customHeight="1">
      <c r="A3" s="16"/>
      <c r="B3" s="49" t="s">
        <v>3</v>
      </c>
      <c r="C3" s="50"/>
      <c r="D3" s="50"/>
      <c r="E3" s="50"/>
      <c r="F3" s="50"/>
      <c r="G3" s="50"/>
      <c r="H3" s="50"/>
      <c r="I3" s="50"/>
      <c r="J3" s="50"/>
      <c r="K3" s="49" t="s">
        <v>4</v>
      </c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21">
      <c r="G4" s="17"/>
      <c r="H4" s="17"/>
      <c r="I4" s="17"/>
    </row>
    <row r="5" spans="1:21" ht="15.95" customHeight="1">
      <c r="A5" s="45" t="s">
        <v>5</v>
      </c>
      <c r="B5" s="45" t="s">
        <v>6</v>
      </c>
      <c r="C5" s="45" t="s">
        <v>7</v>
      </c>
      <c r="D5" s="45" t="s">
        <v>8</v>
      </c>
      <c r="E5" s="45" t="s">
        <v>9</v>
      </c>
      <c r="F5" s="45"/>
      <c r="G5" s="47">
        <v>1</v>
      </c>
      <c r="H5" s="47"/>
      <c r="I5" s="45">
        <v>2</v>
      </c>
      <c r="J5" s="45"/>
      <c r="K5" s="45"/>
      <c r="L5" s="47">
        <v>3</v>
      </c>
      <c r="M5" s="47"/>
      <c r="N5" s="47"/>
      <c r="O5" s="45">
        <v>4</v>
      </c>
      <c r="P5" s="45"/>
      <c r="Q5" s="45"/>
      <c r="R5" s="45" t="s">
        <v>10</v>
      </c>
      <c r="S5" s="45" t="s">
        <v>11</v>
      </c>
      <c r="T5" s="45" t="s">
        <v>12</v>
      </c>
      <c r="U5" s="45" t="s">
        <v>13</v>
      </c>
    </row>
    <row r="6" spans="1:21" ht="15.95">
      <c r="A6" s="45"/>
      <c r="B6" s="45"/>
      <c r="C6" s="45"/>
      <c r="D6" s="45"/>
      <c r="E6" s="45" t="s">
        <v>14</v>
      </c>
      <c r="F6" s="45"/>
      <c r="G6" s="3">
        <v>1</v>
      </c>
      <c r="H6" s="3">
        <v>2</v>
      </c>
      <c r="I6" s="4">
        <v>1</v>
      </c>
      <c r="J6" s="4">
        <v>2</v>
      </c>
      <c r="K6" s="4">
        <v>3</v>
      </c>
      <c r="L6" s="3">
        <v>1</v>
      </c>
      <c r="M6" s="3">
        <v>2</v>
      </c>
      <c r="N6" s="3">
        <v>3</v>
      </c>
      <c r="O6" s="4">
        <v>1</v>
      </c>
      <c r="P6" s="4">
        <v>2</v>
      </c>
      <c r="Q6" s="4">
        <v>3</v>
      </c>
      <c r="R6" s="45"/>
      <c r="S6" s="45"/>
      <c r="T6" s="45"/>
      <c r="U6" s="45"/>
    </row>
    <row r="7" spans="1:21" ht="17.100000000000001">
      <c r="A7" s="45"/>
      <c r="B7" s="45"/>
      <c r="C7" s="45"/>
      <c r="D7" s="45"/>
      <c r="E7" s="4" t="s">
        <v>15</v>
      </c>
      <c r="F7" s="4" t="s">
        <v>16</v>
      </c>
      <c r="G7" s="3" cm="1">
        <f t="array" ref="G7">SUM(_xlfn._xlws.FILTER(G$12:G$102, G$12:G$102&gt;0))</f>
        <v>13</v>
      </c>
      <c r="H7" s="3" cm="1">
        <f t="array" ref="H7">SUM(_xlfn._xlws.FILTER(H$12:H$102, H$12:H$102&gt;0))</f>
        <v>20</v>
      </c>
      <c r="I7" s="3" cm="1">
        <f t="array" ref="I7">SUM(_xlfn._xlws.FILTER(I$12:I$102, I$12:I$102&gt;0))</f>
        <v>13</v>
      </c>
      <c r="J7" s="3" cm="1">
        <f t="array" ref="J7">SUM(_xlfn._xlws.FILTER(J$12:J$102, J$12:J$102&gt;0))</f>
        <v>12</v>
      </c>
      <c r="K7" s="3" cm="1">
        <f t="array" ref="K7">SUM(_xlfn._xlws.FILTER(K$12:K$102, K$12:K$102&gt;0))</f>
        <v>11</v>
      </c>
      <c r="L7" s="3" cm="1">
        <f t="array" ref="L7">SUM(_xlfn._xlws.FILTER(L$12:L$102, L$12:L$102&gt;0))</f>
        <v>11</v>
      </c>
      <c r="M7" s="3" cm="1">
        <f t="array" ref="M7">SUM(_xlfn._xlws.FILTER(M$12:M$102, M$12:M$102&gt;0))</f>
        <v>11</v>
      </c>
      <c r="N7" s="3" cm="1">
        <f t="array" ref="N7">SUM(_xlfn._xlws.FILTER(N$12:N$102, N$12:N$102&gt;0))</f>
        <v>10</v>
      </c>
      <c r="O7" s="3" cm="1">
        <f t="array" ref="O7">SUM(_xlfn._xlws.FILTER(O$12:O$102, O$12:O$102&gt;0))</f>
        <v>10</v>
      </c>
      <c r="P7" s="3" cm="1">
        <f t="array" ref="P7">SUM(_xlfn._xlws.FILTER(P$12:P$102, P$12:P$102&gt;0))</f>
        <v>9</v>
      </c>
      <c r="Q7" s="3" cm="1">
        <f t="array" ref="Q7">SUM(_xlfn._xlws.FILTER(Q$12:Q$102, Q$12:Q$102&gt;0))</f>
        <v>12</v>
      </c>
      <c r="R7" s="45"/>
      <c r="S7" s="45"/>
      <c r="T7" s="45"/>
      <c r="U7" s="45"/>
    </row>
    <row r="8" spans="1:21" ht="15.95">
      <c r="A8" s="40"/>
      <c r="B8" s="41" t="s">
        <v>17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"/>
      <c r="S8" s="4"/>
      <c r="T8" s="12"/>
      <c r="U8" s="12"/>
    </row>
    <row r="9" spans="1:21" ht="15.95">
      <c r="A9" s="40"/>
      <c r="B9" s="43" t="s">
        <v>18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5"/>
      <c r="S9" s="5"/>
      <c r="T9" s="12"/>
      <c r="U9" s="12"/>
    </row>
    <row r="10" spans="1:21" ht="17.100000000000001">
      <c r="A10" s="4" t="s">
        <v>19</v>
      </c>
      <c r="B10" s="45" t="s">
        <v>20</v>
      </c>
      <c r="C10" s="45"/>
      <c r="D10" s="4">
        <f>SUM(D11:D24)</f>
        <v>36</v>
      </c>
      <c r="E10" s="4">
        <f>SUM(E11:E25)</f>
        <v>30</v>
      </c>
      <c r="F10" s="4">
        <f t="shared" ref="F10" si="0">SUM(F11:F25)</f>
        <v>6</v>
      </c>
      <c r="G10" s="3"/>
      <c r="H10" s="3"/>
      <c r="I10" s="4"/>
      <c r="J10" s="4"/>
      <c r="K10" s="4"/>
      <c r="L10" s="3"/>
      <c r="M10" s="3"/>
      <c r="N10" s="3"/>
      <c r="O10" s="4"/>
      <c r="P10" s="4"/>
      <c r="Q10" s="4"/>
      <c r="R10" s="4"/>
      <c r="S10" s="4"/>
      <c r="T10" s="12"/>
      <c r="U10" s="12"/>
    </row>
    <row r="11" spans="1:21" ht="17.100000000000001">
      <c r="A11" s="6">
        <v>1</v>
      </c>
      <c r="B11" s="6" t="s">
        <v>21</v>
      </c>
      <c r="C11" s="7" t="s">
        <v>22</v>
      </c>
      <c r="D11" s="6">
        <v>2</v>
      </c>
      <c r="E11" s="6">
        <v>2</v>
      </c>
      <c r="F11" s="6">
        <v>0</v>
      </c>
      <c r="G11" s="1">
        <v>2</v>
      </c>
      <c r="H11" s="14"/>
      <c r="I11" s="6"/>
      <c r="J11" s="6"/>
      <c r="K11" s="6"/>
      <c r="L11" s="1"/>
      <c r="M11" s="1"/>
      <c r="N11" s="1"/>
      <c r="O11" s="6"/>
      <c r="P11" s="6"/>
      <c r="Q11" s="6"/>
      <c r="R11" s="6"/>
      <c r="S11" s="6"/>
      <c r="T11" s="25"/>
      <c r="U11" s="25"/>
    </row>
    <row r="12" spans="1:21" ht="17.100000000000001">
      <c r="A12" s="6">
        <v>2</v>
      </c>
      <c r="B12" s="6" t="s">
        <v>23</v>
      </c>
      <c r="C12" s="7" t="s">
        <v>24</v>
      </c>
      <c r="D12" s="6">
        <v>3</v>
      </c>
      <c r="E12" s="6">
        <v>3</v>
      </c>
      <c r="F12" s="6">
        <v>0</v>
      </c>
      <c r="G12" s="14">
        <v>3</v>
      </c>
      <c r="H12" s="14"/>
      <c r="I12" s="6"/>
      <c r="J12" s="6"/>
      <c r="K12" s="6"/>
      <c r="L12" s="1"/>
      <c r="M12" s="1"/>
      <c r="N12" s="1"/>
      <c r="O12" s="6"/>
      <c r="P12" s="6"/>
      <c r="Q12" s="6"/>
      <c r="R12" s="6"/>
      <c r="S12" s="6"/>
      <c r="T12" s="25"/>
      <c r="U12" s="25"/>
    </row>
    <row r="13" spans="1:21" ht="17.100000000000001">
      <c r="A13" s="6">
        <v>3</v>
      </c>
      <c r="B13" s="6" t="s">
        <v>25</v>
      </c>
      <c r="C13" s="7" t="s">
        <v>26</v>
      </c>
      <c r="D13" s="6">
        <v>3</v>
      </c>
      <c r="E13" s="6">
        <v>2.5</v>
      </c>
      <c r="F13" s="6">
        <v>0.5</v>
      </c>
      <c r="G13" s="1">
        <v>3</v>
      </c>
      <c r="H13" s="14"/>
      <c r="I13" s="6"/>
      <c r="J13" s="6"/>
      <c r="K13" s="6"/>
      <c r="L13" s="1"/>
      <c r="M13" s="1"/>
      <c r="N13" s="1"/>
      <c r="O13" s="6"/>
      <c r="P13" s="6"/>
      <c r="Q13" s="6"/>
      <c r="R13" s="6"/>
      <c r="S13" s="6"/>
      <c r="T13" s="25"/>
      <c r="U13" s="25"/>
    </row>
    <row r="14" spans="1:21" ht="17.100000000000001">
      <c r="A14" s="6">
        <v>4</v>
      </c>
      <c r="B14" s="6" t="s">
        <v>27</v>
      </c>
      <c r="C14" s="7" t="s">
        <v>28</v>
      </c>
      <c r="D14" s="6">
        <v>3</v>
      </c>
      <c r="E14" s="6">
        <v>2.5</v>
      </c>
      <c r="F14" s="6">
        <v>0.5</v>
      </c>
      <c r="G14" s="1"/>
      <c r="H14" s="14">
        <v>3</v>
      </c>
      <c r="I14" s="6"/>
      <c r="J14" s="6"/>
      <c r="K14" s="6"/>
      <c r="L14" s="1"/>
      <c r="M14" s="1"/>
      <c r="N14" s="1"/>
      <c r="O14" s="6"/>
      <c r="P14" s="6"/>
      <c r="Q14" s="6"/>
      <c r="R14" s="6"/>
      <c r="S14" s="6" t="s">
        <v>25</v>
      </c>
      <c r="T14" s="25"/>
      <c r="U14" s="25"/>
    </row>
    <row r="15" spans="1:21" ht="17.100000000000001">
      <c r="A15" s="6">
        <v>5</v>
      </c>
      <c r="B15" s="6" t="s">
        <v>29</v>
      </c>
      <c r="C15" s="7" t="s">
        <v>30</v>
      </c>
      <c r="D15" s="6">
        <v>3</v>
      </c>
      <c r="E15" s="6">
        <v>3</v>
      </c>
      <c r="F15" s="6">
        <v>0</v>
      </c>
      <c r="G15" s="1"/>
      <c r="H15" s="1">
        <v>3</v>
      </c>
      <c r="I15" s="6"/>
      <c r="J15" s="6"/>
      <c r="K15" s="6"/>
      <c r="L15" s="1"/>
      <c r="M15" s="1"/>
      <c r="N15" s="1"/>
      <c r="O15" s="6"/>
      <c r="P15" s="6"/>
      <c r="Q15" s="6"/>
      <c r="R15" s="6"/>
      <c r="S15" s="6"/>
      <c r="T15" s="25"/>
      <c r="U15" s="25"/>
    </row>
    <row r="16" spans="1:21" ht="17.100000000000001">
      <c r="A16" s="6">
        <v>6</v>
      </c>
      <c r="B16" s="6" t="s">
        <v>31</v>
      </c>
      <c r="C16" s="7" t="s">
        <v>32</v>
      </c>
      <c r="D16" s="6">
        <v>3</v>
      </c>
      <c r="E16" s="6">
        <v>3</v>
      </c>
      <c r="F16" s="6">
        <v>0</v>
      </c>
      <c r="G16" s="1"/>
      <c r="H16" s="1">
        <v>3</v>
      </c>
      <c r="I16" s="11"/>
      <c r="J16" s="6"/>
      <c r="K16" s="11"/>
      <c r="L16" s="1"/>
      <c r="M16" s="1"/>
      <c r="N16" s="1"/>
      <c r="O16" s="6"/>
      <c r="P16" s="6"/>
      <c r="Q16" s="6"/>
      <c r="R16" s="6"/>
      <c r="S16" s="6" t="s">
        <v>21</v>
      </c>
      <c r="T16" s="25"/>
      <c r="U16" s="25"/>
    </row>
    <row r="17" spans="1:21" ht="17.100000000000001">
      <c r="A17" s="6">
        <v>7</v>
      </c>
      <c r="B17" s="6" t="s">
        <v>33</v>
      </c>
      <c r="C17" s="7" t="s">
        <v>34</v>
      </c>
      <c r="D17" s="6">
        <v>3</v>
      </c>
      <c r="E17" s="6">
        <v>1</v>
      </c>
      <c r="F17" s="6">
        <v>2</v>
      </c>
      <c r="G17" s="1"/>
      <c r="H17" s="1">
        <v>3</v>
      </c>
      <c r="I17" s="6"/>
      <c r="J17" s="11"/>
      <c r="K17" s="6"/>
      <c r="L17" s="1"/>
      <c r="M17" s="1"/>
      <c r="N17" s="1"/>
      <c r="O17" s="6"/>
      <c r="P17" s="6"/>
      <c r="Q17" s="6"/>
      <c r="R17" s="6"/>
      <c r="S17" s="6"/>
      <c r="T17" s="25"/>
      <c r="U17" s="25"/>
    </row>
    <row r="18" spans="1:21" ht="17.100000000000001">
      <c r="A18" s="6">
        <v>8</v>
      </c>
      <c r="B18" s="6" t="s">
        <v>35</v>
      </c>
      <c r="C18" s="7" t="s">
        <v>36</v>
      </c>
      <c r="D18" s="6">
        <v>3</v>
      </c>
      <c r="E18" s="6">
        <v>1</v>
      </c>
      <c r="F18" s="6">
        <v>2</v>
      </c>
      <c r="G18" s="1"/>
      <c r="H18" s="1"/>
      <c r="I18" s="6">
        <v>3</v>
      </c>
      <c r="J18" s="6"/>
      <c r="K18" s="11"/>
      <c r="L18" s="1"/>
      <c r="M18" s="1"/>
      <c r="N18" s="1"/>
      <c r="O18" s="6"/>
      <c r="P18" s="6"/>
      <c r="Q18" s="6"/>
      <c r="R18" s="6" t="s">
        <v>33</v>
      </c>
      <c r="S18" s="6"/>
      <c r="T18" s="25"/>
      <c r="U18" s="25"/>
    </row>
    <row r="19" spans="1:21" ht="17.100000000000001">
      <c r="A19" s="6">
        <v>9</v>
      </c>
      <c r="B19" s="6" t="s">
        <v>37</v>
      </c>
      <c r="C19" s="7" t="s">
        <v>38</v>
      </c>
      <c r="D19" s="6">
        <v>3</v>
      </c>
      <c r="E19" s="6">
        <v>3</v>
      </c>
      <c r="F19" s="6">
        <v>0</v>
      </c>
      <c r="G19" s="1"/>
      <c r="H19" s="1"/>
      <c r="I19" s="6">
        <v>3</v>
      </c>
      <c r="J19" s="6"/>
      <c r="K19" s="11"/>
      <c r="L19" s="1"/>
      <c r="M19" s="1"/>
      <c r="N19" s="1"/>
      <c r="O19" s="6"/>
      <c r="P19" s="6"/>
      <c r="Q19" s="6"/>
      <c r="R19" s="6"/>
      <c r="S19" s="6"/>
      <c r="T19" s="25"/>
      <c r="U19" s="25"/>
    </row>
    <row r="20" spans="1:21" ht="17.100000000000001">
      <c r="A20" s="6">
        <v>10</v>
      </c>
      <c r="B20" s="6" t="s">
        <v>39</v>
      </c>
      <c r="C20" s="7" t="s">
        <v>40</v>
      </c>
      <c r="D20" s="6">
        <v>2</v>
      </c>
      <c r="E20" s="6">
        <v>2</v>
      </c>
      <c r="F20" s="6">
        <v>0</v>
      </c>
      <c r="G20" s="1"/>
      <c r="H20" s="1"/>
      <c r="I20" s="6">
        <v>2</v>
      </c>
      <c r="J20" s="6"/>
      <c r="K20" s="11"/>
      <c r="L20" s="1"/>
      <c r="M20" s="1"/>
      <c r="N20" s="1"/>
      <c r="O20" s="6"/>
      <c r="P20" s="6"/>
      <c r="Q20" s="6"/>
      <c r="R20" s="6"/>
      <c r="S20" s="6" t="s">
        <v>31</v>
      </c>
      <c r="T20" s="25"/>
      <c r="U20" s="25"/>
    </row>
    <row r="21" spans="1:21" ht="17.100000000000001">
      <c r="A21" s="6">
        <v>11</v>
      </c>
      <c r="B21" s="6" t="s">
        <v>41</v>
      </c>
      <c r="C21" s="7" t="s">
        <v>42</v>
      </c>
      <c r="D21" s="6">
        <v>2</v>
      </c>
      <c r="E21" s="6">
        <v>1</v>
      </c>
      <c r="F21" s="6">
        <v>1</v>
      </c>
      <c r="G21" s="1"/>
      <c r="H21" s="1"/>
      <c r="I21" s="13"/>
      <c r="J21" s="6">
        <v>2</v>
      </c>
      <c r="K21" s="11"/>
      <c r="L21" s="1"/>
      <c r="M21" s="1"/>
      <c r="N21" s="1"/>
      <c r="O21" s="6"/>
      <c r="P21" s="6"/>
      <c r="Q21" s="6"/>
      <c r="R21" s="6" t="s">
        <v>35</v>
      </c>
      <c r="S21" s="6"/>
      <c r="T21" s="25"/>
      <c r="U21" s="25"/>
    </row>
    <row r="22" spans="1:21" ht="17.100000000000001">
      <c r="A22" s="6">
        <v>12</v>
      </c>
      <c r="B22" s="6" t="s">
        <v>43</v>
      </c>
      <c r="C22" s="7" t="s">
        <v>44</v>
      </c>
      <c r="D22" s="6">
        <v>2</v>
      </c>
      <c r="E22" s="6">
        <v>2</v>
      </c>
      <c r="F22" s="6">
        <v>0</v>
      </c>
      <c r="G22" s="1"/>
      <c r="H22" s="1"/>
      <c r="I22" s="6"/>
      <c r="J22" s="6">
        <v>2</v>
      </c>
      <c r="K22" s="11"/>
      <c r="L22" s="1"/>
      <c r="M22" s="1"/>
      <c r="N22" s="1"/>
      <c r="O22" s="6"/>
      <c r="P22" s="6"/>
      <c r="Q22" s="6"/>
      <c r="R22" s="6"/>
      <c r="S22" s="6" t="s">
        <v>39</v>
      </c>
      <c r="T22" s="25"/>
      <c r="U22" s="25"/>
    </row>
    <row r="23" spans="1:21" ht="17.100000000000001">
      <c r="A23" s="6">
        <v>13</v>
      </c>
      <c r="B23" s="6" t="s">
        <v>45</v>
      </c>
      <c r="C23" s="7" t="s">
        <v>46</v>
      </c>
      <c r="D23" s="6">
        <v>2</v>
      </c>
      <c r="E23" s="6">
        <v>2</v>
      </c>
      <c r="F23" s="6">
        <v>0</v>
      </c>
      <c r="G23" s="1"/>
      <c r="H23" s="1"/>
      <c r="I23" s="6"/>
      <c r="J23" s="6"/>
      <c r="K23" s="11"/>
      <c r="L23" s="1">
        <v>2</v>
      </c>
      <c r="M23" s="1"/>
      <c r="N23" s="1"/>
      <c r="O23" s="6"/>
      <c r="P23" s="6"/>
      <c r="Q23" s="6"/>
      <c r="R23" s="6"/>
      <c r="S23" s="6" t="s">
        <v>43</v>
      </c>
      <c r="T23" s="25"/>
      <c r="U23" s="25"/>
    </row>
    <row r="24" spans="1:21" ht="17.100000000000001">
      <c r="A24" s="6">
        <v>14</v>
      </c>
      <c r="B24" s="6" t="s">
        <v>47</v>
      </c>
      <c r="C24" s="7" t="s">
        <v>48</v>
      </c>
      <c r="D24" s="6">
        <v>2</v>
      </c>
      <c r="E24" s="6">
        <v>2</v>
      </c>
      <c r="F24" s="6">
        <v>0</v>
      </c>
      <c r="G24" s="1"/>
      <c r="H24" s="1"/>
      <c r="I24" s="6"/>
      <c r="J24" s="6"/>
      <c r="K24" s="11"/>
      <c r="L24" s="1"/>
      <c r="M24" s="1"/>
      <c r="N24" s="1"/>
      <c r="O24" s="6"/>
      <c r="P24" s="6"/>
      <c r="Q24" s="6">
        <v>2</v>
      </c>
      <c r="R24" s="6"/>
      <c r="S24" s="6" t="s">
        <v>45</v>
      </c>
      <c r="T24" s="25"/>
      <c r="U24" s="25"/>
    </row>
    <row r="25" spans="1:21" ht="17.100000000000001">
      <c r="A25" s="4" t="s">
        <v>49</v>
      </c>
      <c r="B25" s="41" t="s">
        <v>50</v>
      </c>
      <c r="C25" s="46"/>
      <c r="D25" s="4">
        <v>6</v>
      </c>
      <c r="E25" s="6"/>
      <c r="F25" s="6"/>
      <c r="G25" s="1"/>
      <c r="H25" s="3"/>
      <c r="I25" s="4"/>
      <c r="J25" s="11"/>
      <c r="K25" s="6"/>
      <c r="L25" s="1"/>
      <c r="M25" s="1"/>
      <c r="N25" s="1"/>
      <c r="O25" s="6"/>
      <c r="P25" s="6"/>
      <c r="Q25" s="6"/>
      <c r="R25" s="6"/>
      <c r="S25" s="6"/>
      <c r="T25" s="12"/>
      <c r="U25" s="12"/>
    </row>
    <row r="26" spans="1:21" s="21" customFormat="1" ht="33.950000000000003">
      <c r="A26" s="6">
        <v>15</v>
      </c>
      <c r="B26" s="7" t="s">
        <v>51</v>
      </c>
      <c r="C26" s="7" t="s">
        <v>52</v>
      </c>
      <c r="D26" s="6"/>
      <c r="E26" s="6"/>
      <c r="F26" s="6"/>
      <c r="G26" s="1"/>
      <c r="H26" s="3"/>
      <c r="I26" s="4"/>
      <c r="J26" s="11">
        <v>2</v>
      </c>
      <c r="K26" s="6"/>
      <c r="L26" s="1"/>
      <c r="M26" s="1"/>
      <c r="N26" s="1"/>
      <c r="O26" s="6"/>
      <c r="P26" s="6"/>
      <c r="Q26" s="6"/>
      <c r="R26" s="6"/>
      <c r="S26" s="35"/>
      <c r="T26" s="19"/>
      <c r="U26" s="19"/>
    </row>
    <row r="27" spans="1:21" s="21" customFormat="1" ht="33.950000000000003">
      <c r="A27" s="6">
        <v>16</v>
      </c>
      <c r="B27" s="7" t="s">
        <v>53</v>
      </c>
      <c r="C27" s="7" t="s">
        <v>54</v>
      </c>
      <c r="D27" s="6"/>
      <c r="E27" s="6"/>
      <c r="F27" s="6"/>
      <c r="G27" s="1"/>
      <c r="H27" s="1"/>
      <c r="I27" s="6"/>
      <c r="J27" s="11"/>
      <c r="K27" s="6">
        <v>2</v>
      </c>
      <c r="L27" s="1">
        <v>2</v>
      </c>
      <c r="M27" s="1"/>
      <c r="N27" s="1"/>
      <c r="O27" s="6"/>
      <c r="P27" s="6"/>
      <c r="Q27" s="6"/>
      <c r="R27" s="6"/>
      <c r="S27" s="35"/>
      <c r="T27" s="19"/>
      <c r="U27" s="19"/>
    </row>
    <row r="28" spans="1:21" ht="15.95">
      <c r="A28" s="40"/>
      <c r="B28" s="41" t="s">
        <v>55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"/>
      <c r="S28" s="4"/>
      <c r="T28" s="12"/>
      <c r="U28" s="12"/>
    </row>
    <row r="29" spans="1:21" ht="15.95">
      <c r="A29" s="40"/>
      <c r="B29" s="43" t="s">
        <v>56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5"/>
      <c r="S29" s="5"/>
      <c r="T29" s="12"/>
      <c r="U29" s="12"/>
    </row>
    <row r="30" spans="1:21" ht="17.100000000000001">
      <c r="A30" s="4" t="s">
        <v>57</v>
      </c>
      <c r="B30" s="22"/>
      <c r="C30" s="9" t="s">
        <v>20</v>
      </c>
      <c r="D30" s="4">
        <f>SUM(D31:D44)</f>
        <v>36</v>
      </c>
      <c r="E30" s="4">
        <f>SUM(E31:E44)</f>
        <v>27</v>
      </c>
      <c r="F30" s="4">
        <f>SUM(F31:F44)</f>
        <v>9</v>
      </c>
      <c r="G30" s="3"/>
      <c r="H30" s="3"/>
      <c r="I30" s="4"/>
      <c r="J30" s="4"/>
      <c r="K30" s="4"/>
      <c r="L30" s="3"/>
      <c r="M30" s="3"/>
      <c r="N30" s="3"/>
      <c r="O30" s="4"/>
      <c r="P30" s="4"/>
      <c r="Q30" s="4"/>
      <c r="R30" s="4"/>
      <c r="S30" s="4"/>
      <c r="T30" s="12"/>
      <c r="U30" s="12"/>
    </row>
    <row r="31" spans="1:21" ht="17.100000000000001">
      <c r="A31" s="6">
        <v>17</v>
      </c>
      <c r="B31" s="6" t="s">
        <v>58</v>
      </c>
      <c r="C31" s="7" t="s">
        <v>59</v>
      </c>
      <c r="D31" s="6">
        <v>2</v>
      </c>
      <c r="E31" s="6">
        <v>1</v>
      </c>
      <c r="F31" s="6">
        <v>1</v>
      </c>
      <c r="G31" s="14">
        <v>2</v>
      </c>
      <c r="H31" s="14"/>
      <c r="I31" s="6"/>
      <c r="J31" s="6"/>
      <c r="K31" s="6"/>
      <c r="L31" s="1"/>
      <c r="M31" s="1"/>
      <c r="N31" s="1"/>
      <c r="O31" s="6"/>
      <c r="P31" s="6"/>
      <c r="Q31" s="6"/>
      <c r="R31" s="7"/>
      <c r="S31" s="7"/>
      <c r="T31" s="12"/>
      <c r="U31" s="12"/>
    </row>
    <row r="32" spans="1:21" ht="17.100000000000001">
      <c r="A32" s="6">
        <v>18</v>
      </c>
      <c r="B32" s="6" t="s">
        <v>60</v>
      </c>
      <c r="C32" s="7" t="s">
        <v>61</v>
      </c>
      <c r="D32" s="6">
        <v>3</v>
      </c>
      <c r="E32" s="6">
        <v>2</v>
      </c>
      <c r="F32" s="6">
        <v>1</v>
      </c>
      <c r="G32" s="1"/>
      <c r="H32" s="1">
        <v>3</v>
      </c>
      <c r="I32" s="11"/>
      <c r="J32" s="11"/>
      <c r="K32" s="6"/>
      <c r="L32" s="1"/>
      <c r="M32" s="1"/>
      <c r="N32" s="1"/>
      <c r="O32" s="6"/>
      <c r="P32" s="6"/>
      <c r="Q32" s="6"/>
      <c r="R32" s="7"/>
      <c r="S32" s="6" t="s">
        <v>58</v>
      </c>
      <c r="T32" s="12"/>
      <c r="U32" s="12"/>
    </row>
    <row r="33" spans="1:21" ht="17.100000000000001">
      <c r="A33" s="6">
        <v>19</v>
      </c>
      <c r="B33" s="6" t="s">
        <v>62</v>
      </c>
      <c r="C33" s="7" t="s">
        <v>63</v>
      </c>
      <c r="D33" s="6">
        <v>3</v>
      </c>
      <c r="E33" s="6">
        <v>2</v>
      </c>
      <c r="F33" s="6">
        <v>1</v>
      </c>
      <c r="G33" s="1"/>
      <c r="H33" s="1">
        <v>3</v>
      </c>
      <c r="I33" s="11"/>
      <c r="J33" s="11"/>
      <c r="K33" s="6"/>
      <c r="L33" s="1"/>
      <c r="M33" s="1"/>
      <c r="N33" s="1"/>
      <c r="O33" s="6"/>
      <c r="P33" s="6"/>
      <c r="Q33" s="6"/>
      <c r="R33" s="7"/>
      <c r="S33" s="7"/>
      <c r="T33" s="12"/>
      <c r="U33" s="12"/>
    </row>
    <row r="34" spans="1:21" ht="17.100000000000001">
      <c r="A34" s="6">
        <v>20</v>
      </c>
      <c r="B34" s="6" t="s">
        <v>64</v>
      </c>
      <c r="C34" s="7" t="s">
        <v>65</v>
      </c>
      <c r="D34" s="6">
        <v>3</v>
      </c>
      <c r="E34" s="6">
        <v>3</v>
      </c>
      <c r="F34" s="6">
        <v>0</v>
      </c>
      <c r="G34" s="1">
        <v>3</v>
      </c>
      <c r="H34" s="1"/>
      <c r="I34" s="11"/>
      <c r="J34" s="11"/>
      <c r="K34" s="6"/>
      <c r="L34" s="1"/>
      <c r="M34" s="1"/>
      <c r="N34" s="1"/>
      <c r="O34" s="6"/>
      <c r="P34" s="6"/>
      <c r="Q34" s="6"/>
      <c r="R34" s="7"/>
      <c r="S34" s="7"/>
      <c r="T34" s="12"/>
      <c r="U34" s="12"/>
    </row>
    <row r="35" spans="1:21" ht="17.100000000000001">
      <c r="A35" s="6">
        <v>21</v>
      </c>
      <c r="B35" s="6" t="s">
        <v>66</v>
      </c>
      <c r="C35" s="7" t="s">
        <v>67</v>
      </c>
      <c r="D35" s="6">
        <v>2</v>
      </c>
      <c r="E35" s="6">
        <v>1</v>
      </c>
      <c r="F35" s="6">
        <v>1</v>
      </c>
      <c r="G35" s="1"/>
      <c r="H35" s="1">
        <v>2</v>
      </c>
      <c r="I35" s="11"/>
      <c r="J35" s="11"/>
      <c r="K35" s="6"/>
      <c r="L35" s="1"/>
      <c r="M35" s="1"/>
      <c r="N35" s="1"/>
      <c r="O35" s="6"/>
      <c r="P35" s="6"/>
      <c r="Q35" s="6"/>
      <c r="R35" s="7"/>
      <c r="S35" s="6" t="s">
        <v>60</v>
      </c>
      <c r="T35" s="12"/>
      <c r="U35" s="12"/>
    </row>
    <row r="36" spans="1:21" ht="51">
      <c r="A36" s="6">
        <v>22</v>
      </c>
      <c r="B36" s="6" t="s">
        <v>68</v>
      </c>
      <c r="C36" s="7" t="s">
        <v>69</v>
      </c>
      <c r="D36" s="6">
        <v>3</v>
      </c>
      <c r="E36" s="6">
        <v>3</v>
      </c>
      <c r="F36" s="6">
        <v>0</v>
      </c>
      <c r="G36" s="1"/>
      <c r="H36" s="1"/>
      <c r="I36" s="11">
        <v>3</v>
      </c>
      <c r="J36" s="11"/>
      <c r="K36" s="6"/>
      <c r="L36" s="1"/>
      <c r="M36" s="1"/>
      <c r="N36" s="1"/>
      <c r="O36" s="6"/>
      <c r="P36" s="6"/>
      <c r="Q36" s="6"/>
      <c r="R36" s="7"/>
      <c r="S36" s="6" t="s">
        <v>70</v>
      </c>
      <c r="T36" s="12"/>
      <c r="U36" s="12"/>
    </row>
    <row r="37" spans="1:21" ht="17.100000000000001">
      <c r="A37" s="6">
        <v>23</v>
      </c>
      <c r="B37" s="6" t="s">
        <v>71</v>
      </c>
      <c r="C37" s="7" t="s">
        <v>72</v>
      </c>
      <c r="D37" s="6">
        <v>3</v>
      </c>
      <c r="E37" s="6">
        <v>2</v>
      </c>
      <c r="F37" s="6">
        <v>1</v>
      </c>
      <c r="G37" s="1"/>
      <c r="H37" s="1"/>
      <c r="I37" s="11"/>
      <c r="J37" s="11">
        <v>3</v>
      </c>
      <c r="K37" s="6"/>
      <c r="L37" s="1"/>
      <c r="M37" s="1"/>
      <c r="N37" s="1"/>
      <c r="O37" s="6"/>
      <c r="P37" s="6"/>
      <c r="Q37" s="6"/>
      <c r="R37" s="7"/>
      <c r="S37" s="7"/>
      <c r="T37" s="12"/>
      <c r="U37" s="12"/>
    </row>
    <row r="38" spans="1:21" ht="17.100000000000001">
      <c r="A38" s="6">
        <v>24</v>
      </c>
      <c r="B38" s="6" t="s">
        <v>73</v>
      </c>
      <c r="C38" s="7" t="s">
        <v>74</v>
      </c>
      <c r="D38" s="6">
        <v>3</v>
      </c>
      <c r="E38" s="6">
        <v>2</v>
      </c>
      <c r="F38" s="6">
        <v>1</v>
      </c>
      <c r="G38" s="1"/>
      <c r="H38" s="1"/>
      <c r="I38" s="11"/>
      <c r="J38" s="11">
        <v>3</v>
      </c>
      <c r="K38" s="6"/>
      <c r="L38" s="1"/>
      <c r="M38" s="1"/>
      <c r="N38" s="1"/>
      <c r="O38" s="6"/>
      <c r="P38" s="6"/>
      <c r="Q38" s="6"/>
      <c r="R38" s="15"/>
      <c r="S38" s="7"/>
      <c r="T38" s="12"/>
      <c r="U38" s="12"/>
    </row>
    <row r="39" spans="1:21" ht="33.950000000000003">
      <c r="A39" s="6">
        <v>25</v>
      </c>
      <c r="B39" s="6" t="s">
        <v>75</v>
      </c>
      <c r="C39" s="7" t="s">
        <v>76</v>
      </c>
      <c r="D39" s="6">
        <v>3</v>
      </c>
      <c r="E39" s="6">
        <v>3</v>
      </c>
      <c r="F39" s="6">
        <v>0</v>
      </c>
      <c r="G39" s="1"/>
      <c r="H39" s="1"/>
      <c r="I39" s="11"/>
      <c r="J39" s="11"/>
      <c r="K39" s="6"/>
      <c r="L39" s="1">
        <v>3</v>
      </c>
      <c r="M39" s="1"/>
      <c r="N39" s="1"/>
      <c r="O39" s="6"/>
      <c r="P39" s="6"/>
      <c r="Q39" s="6"/>
      <c r="R39" s="7" t="s">
        <v>77</v>
      </c>
      <c r="S39" s="7"/>
      <c r="T39" s="12"/>
      <c r="U39" s="12"/>
    </row>
    <row r="40" spans="1:21" ht="17.100000000000001">
      <c r="A40" s="6">
        <v>26</v>
      </c>
      <c r="B40" s="6" t="s">
        <v>78</v>
      </c>
      <c r="C40" s="7" t="s">
        <v>79</v>
      </c>
      <c r="D40" s="6">
        <v>3</v>
      </c>
      <c r="E40" s="6">
        <v>3</v>
      </c>
      <c r="F40" s="6">
        <v>0</v>
      </c>
      <c r="G40" s="1"/>
      <c r="H40" s="1"/>
      <c r="I40" s="11"/>
      <c r="J40" s="11"/>
      <c r="K40" s="6">
        <v>3</v>
      </c>
      <c r="L40" s="1"/>
      <c r="M40" s="1"/>
      <c r="N40" s="1"/>
      <c r="O40" s="6"/>
      <c r="P40" s="6"/>
      <c r="Q40" s="6"/>
      <c r="R40" s="7"/>
      <c r="S40" s="7"/>
      <c r="T40" s="12"/>
      <c r="U40" s="12"/>
    </row>
    <row r="41" spans="1:21" ht="33.950000000000003">
      <c r="A41" s="6">
        <v>27</v>
      </c>
      <c r="B41" s="6" t="s">
        <v>80</v>
      </c>
      <c r="C41" s="7" t="s">
        <v>81</v>
      </c>
      <c r="D41" s="6">
        <v>3</v>
      </c>
      <c r="E41" s="6">
        <v>2</v>
      </c>
      <c r="F41" s="6">
        <v>1</v>
      </c>
      <c r="G41" s="1"/>
      <c r="H41" s="1"/>
      <c r="I41" s="11"/>
      <c r="J41" s="11"/>
      <c r="K41" s="6"/>
      <c r="L41" s="1"/>
      <c r="M41" s="1"/>
      <c r="N41" s="1"/>
      <c r="O41" s="6">
        <v>3</v>
      </c>
      <c r="P41" s="6"/>
      <c r="Q41" s="6"/>
      <c r="R41" s="7"/>
      <c r="S41" s="6" t="s">
        <v>77</v>
      </c>
      <c r="T41" s="12"/>
      <c r="U41" s="12"/>
    </row>
    <row r="42" spans="1:21" ht="17.100000000000001">
      <c r="A42" s="6">
        <v>28</v>
      </c>
      <c r="B42" s="6" t="s">
        <v>82</v>
      </c>
      <c r="C42" s="7" t="s">
        <v>83</v>
      </c>
      <c r="D42" s="6">
        <v>3</v>
      </c>
      <c r="E42" s="6">
        <v>2</v>
      </c>
      <c r="F42" s="6">
        <v>1</v>
      </c>
      <c r="G42" s="1"/>
      <c r="H42" s="1"/>
      <c r="I42" s="11"/>
      <c r="J42" s="11"/>
      <c r="K42" s="6">
        <v>3</v>
      </c>
      <c r="L42" s="1"/>
      <c r="M42" s="1"/>
      <c r="N42" s="1"/>
      <c r="O42" s="6"/>
      <c r="P42" s="6"/>
      <c r="Q42" s="6"/>
      <c r="R42" s="7"/>
      <c r="S42" s="7"/>
      <c r="T42" s="12"/>
      <c r="U42" s="12"/>
    </row>
    <row r="43" spans="1:21" ht="17.100000000000001">
      <c r="A43" s="6">
        <v>29</v>
      </c>
      <c r="B43" s="6" t="s">
        <v>84</v>
      </c>
      <c r="C43" s="7" t="s">
        <v>85</v>
      </c>
      <c r="D43" s="6">
        <v>2</v>
      </c>
      <c r="E43" s="6">
        <v>1</v>
      </c>
      <c r="F43" s="6">
        <v>1</v>
      </c>
      <c r="G43" s="1"/>
      <c r="H43" s="1"/>
      <c r="I43" s="6"/>
      <c r="J43" s="6"/>
      <c r="K43" s="6"/>
      <c r="L43" s="1">
        <v>2</v>
      </c>
      <c r="M43" s="1"/>
      <c r="N43" s="1"/>
      <c r="O43" s="6"/>
      <c r="P43" s="6"/>
      <c r="Q43" s="6"/>
      <c r="R43" s="7"/>
      <c r="S43" s="6" t="s">
        <v>86</v>
      </c>
      <c r="T43" s="12"/>
      <c r="U43" s="12"/>
    </row>
    <row r="44" spans="1:21" ht="17.100000000000001">
      <c r="A44" s="4" t="s">
        <v>87</v>
      </c>
      <c r="B44" s="45" t="s">
        <v>88</v>
      </c>
      <c r="C44" s="45"/>
      <c r="D44" s="4"/>
      <c r="E44" s="6"/>
      <c r="F44" s="6"/>
      <c r="G44" s="1"/>
      <c r="H44" s="1"/>
      <c r="I44" s="11"/>
      <c r="J44" s="4"/>
      <c r="K44" s="6"/>
      <c r="L44" s="3"/>
      <c r="M44" s="1"/>
      <c r="N44" s="1"/>
      <c r="O44" s="6"/>
      <c r="P44" s="6"/>
      <c r="Q44" s="6"/>
      <c r="R44" s="7"/>
      <c r="S44" s="6"/>
      <c r="T44" s="12"/>
      <c r="U44" s="12"/>
    </row>
    <row r="45" spans="1:21" ht="15.95">
      <c r="A45" s="10"/>
      <c r="B45" s="41" t="s">
        <v>89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"/>
      <c r="S45" s="4"/>
      <c r="T45" s="12"/>
      <c r="U45" s="12"/>
    </row>
    <row r="46" spans="1:21" ht="15.95">
      <c r="A46" s="10"/>
      <c r="B46" s="43" t="s">
        <v>90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5"/>
      <c r="S46" s="5"/>
      <c r="T46" s="12"/>
      <c r="U46" s="12"/>
    </row>
    <row r="47" spans="1:21" ht="17.100000000000001">
      <c r="A47" s="4" t="s">
        <v>91</v>
      </c>
      <c r="B47" s="45" t="s">
        <v>20</v>
      </c>
      <c r="C47" s="45"/>
      <c r="D47" s="4">
        <f>D48+D49</f>
        <v>4</v>
      </c>
      <c r="E47" s="4">
        <f>E48+E49</f>
        <v>3</v>
      </c>
      <c r="F47" s="4">
        <f>F48+F49</f>
        <v>1</v>
      </c>
      <c r="G47" s="3"/>
      <c r="H47" s="3"/>
      <c r="I47" s="4"/>
      <c r="J47" s="4"/>
      <c r="K47" s="4"/>
      <c r="L47" s="3"/>
      <c r="M47" s="3"/>
      <c r="N47" s="3"/>
      <c r="O47" s="4"/>
      <c r="P47" s="4"/>
      <c r="Q47" s="4"/>
      <c r="R47" s="4"/>
      <c r="S47" s="4"/>
      <c r="T47" s="12"/>
      <c r="U47" s="12"/>
    </row>
    <row r="48" spans="1:21" ht="33.950000000000003">
      <c r="A48" s="6">
        <v>30</v>
      </c>
      <c r="B48" s="6" t="s">
        <v>92</v>
      </c>
      <c r="C48" s="38" t="s">
        <v>93</v>
      </c>
      <c r="D48" s="6">
        <v>2</v>
      </c>
      <c r="E48" s="6">
        <v>1</v>
      </c>
      <c r="F48" s="6">
        <v>1</v>
      </c>
      <c r="G48" s="1"/>
      <c r="H48" s="1"/>
      <c r="I48" s="6"/>
      <c r="J48" s="6"/>
      <c r="K48" s="6"/>
      <c r="L48" s="1"/>
      <c r="M48" s="1"/>
      <c r="N48" s="1"/>
      <c r="O48" s="6">
        <v>2</v>
      </c>
      <c r="P48" s="6"/>
      <c r="Q48" s="6"/>
      <c r="R48" s="7"/>
      <c r="S48" s="6"/>
      <c r="T48" s="12"/>
      <c r="U48" s="12"/>
    </row>
    <row r="49" spans="1:21" ht="17.100000000000001">
      <c r="A49" s="6">
        <v>31</v>
      </c>
      <c r="B49" s="6" t="s">
        <v>94</v>
      </c>
      <c r="C49" s="7" t="s">
        <v>95</v>
      </c>
      <c r="D49" s="6">
        <v>2</v>
      </c>
      <c r="E49" s="6">
        <v>2</v>
      </c>
      <c r="F49" s="6">
        <v>0</v>
      </c>
      <c r="G49" s="1">
        <v>2</v>
      </c>
      <c r="H49" s="1"/>
      <c r="I49" s="6"/>
      <c r="J49" s="6"/>
      <c r="K49" s="6"/>
      <c r="L49" s="1"/>
      <c r="M49" s="1"/>
      <c r="N49" s="1"/>
      <c r="O49" s="6"/>
      <c r="P49" s="6"/>
      <c r="Q49" s="6"/>
      <c r="R49" s="7"/>
      <c r="S49" s="6"/>
      <c r="T49" s="12"/>
      <c r="U49" s="12"/>
    </row>
    <row r="50" spans="1:21" ht="17.100000000000001">
      <c r="A50" s="4" t="s">
        <v>96</v>
      </c>
      <c r="B50" s="22"/>
      <c r="C50" s="9" t="s">
        <v>97</v>
      </c>
      <c r="D50" s="4">
        <v>2</v>
      </c>
      <c r="E50" s="6"/>
      <c r="F50" s="6"/>
      <c r="G50" s="1"/>
      <c r="H50" s="1"/>
      <c r="I50" s="4"/>
      <c r="J50" s="6"/>
      <c r="K50" s="6"/>
      <c r="L50" s="1"/>
      <c r="M50" s="1">
        <v>2</v>
      </c>
      <c r="N50" s="1"/>
      <c r="O50" s="6"/>
      <c r="P50" s="6"/>
      <c r="Q50" s="6"/>
      <c r="R50" s="7"/>
      <c r="S50" s="6"/>
      <c r="T50" s="12"/>
      <c r="U50" s="12"/>
    </row>
    <row r="51" spans="1:21" ht="17.100000000000001">
      <c r="A51" s="6">
        <v>32</v>
      </c>
      <c r="B51" s="6" t="s">
        <v>98</v>
      </c>
      <c r="C51" s="7" t="s">
        <v>99</v>
      </c>
      <c r="D51" s="6">
        <v>2</v>
      </c>
      <c r="E51" s="6">
        <v>1</v>
      </c>
      <c r="F51" s="6">
        <v>1</v>
      </c>
      <c r="G51" s="1"/>
      <c r="H51" s="1"/>
      <c r="I51" s="6"/>
      <c r="J51" s="6"/>
      <c r="K51" s="6"/>
      <c r="L51" s="1"/>
      <c r="M51" s="1"/>
      <c r="N51" s="1"/>
      <c r="O51" s="6"/>
      <c r="P51" s="6"/>
      <c r="Q51" s="6"/>
      <c r="R51" s="7"/>
      <c r="S51" s="6"/>
      <c r="T51" s="12"/>
      <c r="U51" s="12"/>
    </row>
    <row r="52" spans="1:21" ht="36" customHeight="1">
      <c r="A52" s="6">
        <v>33</v>
      </c>
      <c r="B52" s="6" t="s">
        <v>100</v>
      </c>
      <c r="C52" s="7" t="s">
        <v>101</v>
      </c>
      <c r="D52" s="6">
        <v>2</v>
      </c>
      <c r="E52" s="6">
        <v>1</v>
      </c>
      <c r="F52" s="6">
        <v>1</v>
      </c>
      <c r="G52" s="1"/>
      <c r="H52" s="1"/>
      <c r="I52" s="6"/>
      <c r="J52" s="6"/>
      <c r="K52" s="6"/>
      <c r="L52" s="1"/>
      <c r="M52" s="1"/>
      <c r="N52" s="1"/>
      <c r="O52" s="6"/>
      <c r="P52" s="6"/>
      <c r="Q52" s="6"/>
      <c r="R52" s="7"/>
      <c r="S52" s="6"/>
      <c r="T52" s="12"/>
      <c r="U52" s="12"/>
    </row>
    <row r="53" spans="1:21" ht="17.100000000000001">
      <c r="A53" s="6">
        <v>34</v>
      </c>
      <c r="B53" s="6" t="s">
        <v>102</v>
      </c>
      <c r="C53" s="7" t="s">
        <v>103</v>
      </c>
      <c r="D53" s="6">
        <v>2</v>
      </c>
      <c r="E53" s="6">
        <v>1</v>
      </c>
      <c r="F53" s="6">
        <v>1</v>
      </c>
      <c r="G53" s="1"/>
      <c r="H53" s="1"/>
      <c r="I53" s="6"/>
      <c r="J53" s="6"/>
      <c r="K53" s="6"/>
      <c r="L53" s="1"/>
      <c r="M53" s="1"/>
      <c r="N53" s="1"/>
      <c r="O53" s="6"/>
      <c r="P53" s="6"/>
      <c r="Q53" s="6"/>
      <c r="R53" s="7"/>
      <c r="S53" s="6"/>
      <c r="T53" s="12"/>
      <c r="U53" s="12"/>
    </row>
    <row r="54" spans="1:21" ht="17.100000000000001">
      <c r="A54" s="6">
        <v>35</v>
      </c>
      <c r="B54" s="6" t="s">
        <v>104</v>
      </c>
      <c r="C54" s="7" t="s">
        <v>105</v>
      </c>
      <c r="D54" s="6">
        <v>2</v>
      </c>
      <c r="E54" s="6">
        <v>1</v>
      </c>
      <c r="F54" s="6">
        <v>1</v>
      </c>
      <c r="G54" s="1"/>
      <c r="H54" s="1"/>
      <c r="I54" s="6"/>
      <c r="J54" s="6"/>
      <c r="K54" s="6"/>
      <c r="L54" s="1"/>
      <c r="M54" s="1"/>
      <c r="N54" s="1"/>
      <c r="O54" s="6"/>
      <c r="P54" s="6"/>
      <c r="Q54" s="6"/>
      <c r="R54" s="7"/>
      <c r="S54" s="6"/>
      <c r="T54" s="12"/>
      <c r="U54" s="12"/>
    </row>
    <row r="55" spans="1:21" ht="15.95">
      <c r="A55" s="40"/>
      <c r="B55" s="41" t="s">
        <v>106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"/>
      <c r="S55" s="4"/>
      <c r="T55" s="12"/>
      <c r="U55" s="12"/>
    </row>
    <row r="56" spans="1:21" ht="15.95">
      <c r="A56" s="40"/>
      <c r="B56" s="43" t="s">
        <v>107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5"/>
      <c r="S56" s="5"/>
      <c r="T56" s="12"/>
      <c r="U56" s="12"/>
    </row>
    <row r="57" spans="1:21" ht="17.100000000000001">
      <c r="A57" s="4" t="s">
        <v>108</v>
      </c>
      <c r="B57" s="45" t="s">
        <v>20</v>
      </c>
      <c r="C57" s="45"/>
      <c r="D57" s="4">
        <f>SUM(D58:D63)</f>
        <v>15</v>
      </c>
      <c r="E57" s="4">
        <f>SUM(E58:E63)</f>
        <v>14.5</v>
      </c>
      <c r="F57" s="4">
        <f>SUM(F58:F63)</f>
        <v>0.5</v>
      </c>
      <c r="G57" s="3"/>
      <c r="H57" s="3"/>
      <c r="I57" s="4"/>
      <c r="J57" s="4"/>
      <c r="K57" s="4"/>
      <c r="L57" s="3"/>
      <c r="M57" s="3"/>
      <c r="N57" s="3"/>
      <c r="O57" s="4"/>
      <c r="P57" s="4"/>
      <c r="Q57" s="4"/>
      <c r="R57" s="4"/>
      <c r="S57" s="4"/>
      <c r="T57" s="12"/>
      <c r="U57" s="12"/>
    </row>
    <row r="58" spans="1:21" ht="17.100000000000001">
      <c r="A58" s="6">
        <v>36</v>
      </c>
      <c r="B58" s="6" t="s">
        <v>109</v>
      </c>
      <c r="C58" s="7" t="s">
        <v>110</v>
      </c>
      <c r="D58" s="6">
        <v>2</v>
      </c>
      <c r="E58" s="6">
        <v>1.5</v>
      </c>
      <c r="F58" s="6">
        <v>0.5</v>
      </c>
      <c r="G58" s="1"/>
      <c r="H58" s="1"/>
      <c r="I58" s="6"/>
      <c r="J58" s="6"/>
      <c r="K58" s="6"/>
      <c r="L58" s="1"/>
      <c r="M58" s="1"/>
      <c r="N58" s="1">
        <v>2</v>
      </c>
      <c r="O58" s="6"/>
      <c r="P58" s="6"/>
      <c r="Q58" s="6"/>
      <c r="R58" s="15"/>
      <c r="S58" s="6" t="s">
        <v>60</v>
      </c>
      <c r="T58" s="12"/>
      <c r="U58" s="12"/>
    </row>
    <row r="59" spans="1:21" ht="17.100000000000001">
      <c r="A59" s="6">
        <v>37</v>
      </c>
      <c r="B59" s="6" t="s">
        <v>111</v>
      </c>
      <c r="C59" s="7" t="s">
        <v>112</v>
      </c>
      <c r="D59" s="6">
        <v>3</v>
      </c>
      <c r="E59" s="6">
        <v>3</v>
      </c>
      <c r="F59" s="6">
        <v>0</v>
      </c>
      <c r="G59" s="1"/>
      <c r="H59" s="1"/>
      <c r="I59" s="6"/>
      <c r="J59" s="6"/>
      <c r="K59" s="6"/>
      <c r="L59" s="1"/>
      <c r="M59" s="1"/>
      <c r="N59" s="1">
        <v>3</v>
      </c>
      <c r="O59" s="6"/>
      <c r="P59" s="6"/>
      <c r="Q59" s="6"/>
      <c r="R59" s="7" t="s">
        <v>37</v>
      </c>
      <c r="S59" s="7"/>
      <c r="T59" s="12"/>
      <c r="U59" s="12"/>
    </row>
    <row r="60" spans="1:21" ht="17.100000000000001">
      <c r="A60" s="6">
        <v>38</v>
      </c>
      <c r="B60" s="6" t="s">
        <v>113</v>
      </c>
      <c r="C60" s="7" t="s">
        <v>114</v>
      </c>
      <c r="D60" s="6">
        <v>3</v>
      </c>
      <c r="E60" s="6">
        <v>3</v>
      </c>
      <c r="F60" s="6">
        <v>0</v>
      </c>
      <c r="G60" s="1"/>
      <c r="H60" s="1"/>
      <c r="I60" s="6"/>
      <c r="J60" s="6"/>
      <c r="K60" s="6"/>
      <c r="L60" s="1"/>
      <c r="M60" s="1">
        <v>3</v>
      </c>
      <c r="N60" s="1"/>
      <c r="O60" s="6"/>
      <c r="P60" s="6"/>
      <c r="Q60" s="6"/>
      <c r="R60" s="7"/>
      <c r="S60" s="7"/>
      <c r="T60" s="12"/>
      <c r="U60" s="12"/>
    </row>
    <row r="61" spans="1:21" ht="17.100000000000001">
      <c r="A61" s="6">
        <v>39</v>
      </c>
      <c r="B61" s="6" t="s">
        <v>115</v>
      </c>
      <c r="C61" s="7" t="s">
        <v>116</v>
      </c>
      <c r="D61" s="6">
        <v>2</v>
      </c>
      <c r="E61" s="6">
        <v>2</v>
      </c>
      <c r="F61" s="6">
        <v>0</v>
      </c>
      <c r="G61" s="1"/>
      <c r="H61" s="1"/>
      <c r="I61" s="6"/>
      <c r="J61" s="6"/>
      <c r="K61" s="6"/>
      <c r="L61" s="1">
        <v>2</v>
      </c>
      <c r="M61" s="1"/>
      <c r="N61" s="1"/>
      <c r="O61" s="6"/>
      <c r="P61" s="6"/>
      <c r="Q61" s="6"/>
      <c r="R61" s="6" t="s">
        <v>62</v>
      </c>
      <c r="S61" s="7"/>
      <c r="T61" s="12"/>
      <c r="U61" s="12"/>
    </row>
    <row r="62" spans="1:21" ht="17.100000000000001">
      <c r="A62" s="6">
        <v>40</v>
      </c>
      <c r="B62" s="6" t="s">
        <v>117</v>
      </c>
      <c r="C62" s="7" t="s">
        <v>118</v>
      </c>
      <c r="D62" s="6">
        <v>3</v>
      </c>
      <c r="E62" s="6">
        <v>3</v>
      </c>
      <c r="F62" s="6">
        <v>0</v>
      </c>
      <c r="G62" s="1"/>
      <c r="H62" s="1"/>
      <c r="I62" s="6"/>
      <c r="J62" s="6"/>
      <c r="K62" s="11"/>
      <c r="L62" s="1"/>
      <c r="M62" s="1">
        <v>3</v>
      </c>
      <c r="N62" s="1"/>
      <c r="O62" s="6"/>
      <c r="P62" s="6"/>
      <c r="Q62" s="6"/>
      <c r="R62" s="7"/>
      <c r="S62" s="6" t="s">
        <v>23</v>
      </c>
      <c r="T62" s="12"/>
      <c r="U62" s="12"/>
    </row>
    <row r="63" spans="1:21" ht="17.100000000000001">
      <c r="A63" s="6">
        <v>41</v>
      </c>
      <c r="B63" s="6" t="s">
        <v>119</v>
      </c>
      <c r="C63" s="7" t="s">
        <v>120</v>
      </c>
      <c r="D63" s="6">
        <v>2</v>
      </c>
      <c r="E63" s="6">
        <v>2</v>
      </c>
      <c r="F63" s="6">
        <v>0</v>
      </c>
      <c r="G63" s="1"/>
      <c r="H63" s="1"/>
      <c r="I63" s="6"/>
      <c r="J63" s="6"/>
      <c r="K63" s="6"/>
      <c r="L63" s="1"/>
      <c r="M63" s="1"/>
      <c r="N63" s="1"/>
      <c r="O63" s="6">
        <v>2</v>
      </c>
      <c r="P63" s="6"/>
      <c r="Q63" s="6"/>
      <c r="R63" s="7"/>
      <c r="S63" s="6"/>
      <c r="T63" s="12"/>
      <c r="U63" s="12"/>
    </row>
    <row r="64" spans="1:21" ht="17.100000000000001">
      <c r="A64" s="4" t="s">
        <v>121</v>
      </c>
      <c r="B64" s="22"/>
      <c r="C64" s="9" t="s">
        <v>122</v>
      </c>
      <c r="D64" s="4">
        <v>12</v>
      </c>
      <c r="E64" s="6"/>
      <c r="F64" s="6"/>
      <c r="G64" s="1"/>
      <c r="H64" s="1"/>
      <c r="I64" s="6"/>
      <c r="J64" s="6"/>
      <c r="K64" s="6">
        <v>3</v>
      </c>
      <c r="L64" s="1"/>
      <c r="M64" s="1">
        <v>3</v>
      </c>
      <c r="N64" s="1">
        <v>3</v>
      </c>
      <c r="O64" s="6">
        <v>3</v>
      </c>
      <c r="P64" s="6"/>
      <c r="Q64" s="6"/>
      <c r="R64" s="7"/>
      <c r="S64" s="6"/>
      <c r="T64" s="12"/>
      <c r="U64" s="12"/>
    </row>
    <row r="65" spans="1:22" ht="17.100000000000001">
      <c r="A65" s="6">
        <v>42</v>
      </c>
      <c r="B65" s="32" t="s">
        <v>123</v>
      </c>
      <c r="C65" s="33" t="s">
        <v>124</v>
      </c>
      <c r="D65" s="6">
        <v>3</v>
      </c>
      <c r="E65" s="6">
        <v>2</v>
      </c>
      <c r="F65" s="6">
        <v>1</v>
      </c>
      <c r="G65" s="1"/>
      <c r="H65" s="1"/>
      <c r="I65" s="6"/>
      <c r="J65" s="6"/>
      <c r="K65" s="6"/>
      <c r="L65" s="1"/>
      <c r="M65" s="1"/>
      <c r="N65" s="1"/>
      <c r="O65" s="6"/>
      <c r="P65" s="6"/>
      <c r="Q65" s="6"/>
      <c r="R65" s="15"/>
      <c r="S65" s="6" t="s">
        <v>58</v>
      </c>
      <c r="T65" s="12"/>
      <c r="U65" s="12"/>
    </row>
    <row r="66" spans="1:22" ht="17.100000000000001">
      <c r="A66" s="6">
        <v>43</v>
      </c>
      <c r="B66" s="6" t="s">
        <v>125</v>
      </c>
      <c r="C66" s="7" t="s">
        <v>126</v>
      </c>
      <c r="D66" s="6">
        <v>3</v>
      </c>
      <c r="E66" s="6">
        <v>2</v>
      </c>
      <c r="F66" s="6">
        <v>1</v>
      </c>
      <c r="G66" s="1"/>
      <c r="H66" s="1"/>
      <c r="I66" s="6"/>
      <c r="J66" s="6"/>
      <c r="K66" s="6"/>
      <c r="L66" s="1"/>
      <c r="M66" s="1"/>
      <c r="N66" s="1"/>
      <c r="O66" s="6"/>
      <c r="P66" s="6"/>
      <c r="Q66" s="6"/>
      <c r="R66" s="7" t="s">
        <v>111</v>
      </c>
      <c r="S66" s="7"/>
      <c r="T66" s="12"/>
      <c r="U66" s="12"/>
      <c r="V66" s="37" t="s">
        <v>127</v>
      </c>
    </row>
    <row r="67" spans="1:22" ht="17.100000000000001">
      <c r="A67" s="6">
        <v>44</v>
      </c>
      <c r="B67" s="6" t="s">
        <v>128</v>
      </c>
      <c r="C67" s="7" t="s">
        <v>129</v>
      </c>
      <c r="D67" s="6">
        <v>3</v>
      </c>
      <c r="E67" s="6">
        <v>3</v>
      </c>
      <c r="F67" s="6">
        <v>0</v>
      </c>
      <c r="G67" s="1"/>
      <c r="H67" s="1"/>
      <c r="I67" s="6"/>
      <c r="J67" s="6"/>
      <c r="K67" s="6"/>
      <c r="L67" s="1"/>
      <c r="M67" s="1"/>
      <c r="N67" s="1"/>
      <c r="O67" s="6"/>
      <c r="P67" s="6"/>
      <c r="Q67" s="6"/>
      <c r="R67" s="7" t="s">
        <v>75</v>
      </c>
      <c r="S67" s="7"/>
      <c r="T67" s="12"/>
      <c r="U67" s="12"/>
    </row>
    <row r="68" spans="1:22" ht="17.100000000000001">
      <c r="A68" s="6">
        <v>45</v>
      </c>
      <c r="B68" s="6" t="s">
        <v>130</v>
      </c>
      <c r="C68" s="7" t="s">
        <v>131</v>
      </c>
      <c r="D68" s="6">
        <v>3</v>
      </c>
      <c r="E68" s="6">
        <v>2</v>
      </c>
      <c r="F68" s="6">
        <v>1</v>
      </c>
      <c r="G68" s="1"/>
      <c r="H68" s="1"/>
      <c r="I68" s="6"/>
      <c r="J68" s="6"/>
      <c r="K68" s="6"/>
      <c r="L68" s="1"/>
      <c r="M68" s="1"/>
      <c r="N68" s="1"/>
      <c r="O68" s="6"/>
      <c r="P68" s="6"/>
      <c r="Q68" s="6"/>
      <c r="R68" s="7" t="s">
        <v>62</v>
      </c>
      <c r="S68" s="7"/>
      <c r="T68" s="12"/>
      <c r="U68" s="12"/>
    </row>
    <row r="69" spans="1:22" ht="17.100000000000001">
      <c r="A69" s="6">
        <v>46</v>
      </c>
      <c r="B69" s="26" t="s">
        <v>86</v>
      </c>
      <c r="C69" s="24" t="s">
        <v>132</v>
      </c>
      <c r="D69" s="6">
        <v>2</v>
      </c>
      <c r="E69" s="6">
        <v>2</v>
      </c>
      <c r="F69" s="6">
        <v>0</v>
      </c>
      <c r="G69" s="1"/>
      <c r="H69" s="1"/>
      <c r="I69" s="11"/>
      <c r="J69" s="11"/>
      <c r="K69" s="6"/>
      <c r="L69" s="1"/>
      <c r="M69" s="1"/>
      <c r="N69" s="1"/>
      <c r="O69" s="6"/>
      <c r="P69" s="6"/>
      <c r="Q69" s="6"/>
      <c r="R69" s="7"/>
      <c r="S69" s="7"/>
      <c r="T69" s="12"/>
      <c r="U69" s="12"/>
      <c r="V69" s="20" t="s">
        <v>133</v>
      </c>
    </row>
    <row r="70" spans="1:22" ht="17.100000000000001">
      <c r="A70" s="6">
        <v>47</v>
      </c>
      <c r="B70" s="34" t="s">
        <v>134</v>
      </c>
      <c r="C70" s="33" t="s">
        <v>135</v>
      </c>
      <c r="D70" s="6">
        <v>3</v>
      </c>
      <c r="E70" s="6">
        <v>2</v>
      </c>
      <c r="F70" s="6">
        <v>1</v>
      </c>
      <c r="G70" s="1"/>
      <c r="H70" s="1"/>
      <c r="I70" s="11"/>
      <c r="J70" s="11"/>
      <c r="K70" s="6"/>
      <c r="L70" s="1"/>
      <c r="M70" s="1"/>
      <c r="N70" s="1"/>
      <c r="O70" s="6"/>
      <c r="P70" s="6"/>
      <c r="Q70" s="6"/>
      <c r="R70" s="7"/>
      <c r="S70" s="7"/>
      <c r="T70" s="12"/>
      <c r="U70" s="12"/>
    </row>
    <row r="71" spans="1:22" ht="17.100000000000001">
      <c r="A71" s="6">
        <v>48</v>
      </c>
      <c r="B71" s="32" t="s">
        <v>136</v>
      </c>
      <c r="C71" s="33" t="s">
        <v>137</v>
      </c>
      <c r="D71" s="6">
        <v>3</v>
      </c>
      <c r="E71" s="6">
        <v>2</v>
      </c>
      <c r="F71" s="6">
        <v>1</v>
      </c>
      <c r="G71" s="1"/>
      <c r="H71" s="1"/>
      <c r="I71" s="6"/>
      <c r="J71" s="6"/>
      <c r="K71" s="6"/>
      <c r="L71" s="1"/>
      <c r="M71" s="1"/>
      <c r="N71" s="1"/>
      <c r="O71" s="6"/>
      <c r="P71" s="6"/>
      <c r="Q71" s="6"/>
      <c r="R71" s="7"/>
      <c r="S71" s="7"/>
      <c r="T71" s="12"/>
      <c r="U71" s="12"/>
    </row>
    <row r="72" spans="1:22" ht="17.100000000000001">
      <c r="A72" s="6">
        <v>49</v>
      </c>
      <c r="B72" s="32" t="s">
        <v>138</v>
      </c>
      <c r="C72" s="33" t="s">
        <v>139</v>
      </c>
      <c r="D72" s="6">
        <v>3</v>
      </c>
      <c r="E72" s="6">
        <v>2</v>
      </c>
      <c r="F72" s="6">
        <v>1</v>
      </c>
      <c r="G72" s="1"/>
      <c r="H72" s="1"/>
      <c r="I72" s="6"/>
      <c r="J72" s="6"/>
      <c r="K72" s="6"/>
      <c r="L72" s="1"/>
      <c r="M72" s="1"/>
      <c r="N72" s="1"/>
      <c r="O72" s="6"/>
      <c r="P72" s="6"/>
      <c r="Q72" s="6"/>
      <c r="R72" s="7"/>
      <c r="S72" s="6" t="s">
        <v>134</v>
      </c>
      <c r="T72" s="12"/>
      <c r="U72" s="12"/>
    </row>
    <row r="73" spans="1:22" ht="33.950000000000003">
      <c r="A73" s="6">
        <v>50</v>
      </c>
      <c r="B73" s="32" t="s">
        <v>140</v>
      </c>
      <c r="C73" s="33" t="s">
        <v>141</v>
      </c>
      <c r="D73" s="6">
        <v>3</v>
      </c>
      <c r="E73" s="6">
        <v>2</v>
      </c>
      <c r="F73" s="6">
        <v>1</v>
      </c>
      <c r="G73" s="1"/>
      <c r="H73" s="1"/>
      <c r="I73" s="6"/>
      <c r="J73" s="6"/>
      <c r="K73" s="6"/>
      <c r="L73" s="1"/>
      <c r="M73" s="1"/>
      <c r="N73" s="1"/>
      <c r="O73" s="6"/>
      <c r="P73" s="6"/>
      <c r="Q73" s="6"/>
      <c r="R73" s="7" t="s">
        <v>71</v>
      </c>
      <c r="S73" s="6" t="s">
        <v>142</v>
      </c>
      <c r="T73" s="12"/>
      <c r="U73" s="12"/>
    </row>
    <row r="74" spans="1:22" ht="17.100000000000001">
      <c r="A74" s="6">
        <v>51</v>
      </c>
      <c r="B74" s="32" t="s">
        <v>143</v>
      </c>
      <c r="C74" s="33" t="s">
        <v>144</v>
      </c>
      <c r="D74" s="6">
        <v>3</v>
      </c>
      <c r="E74" s="6">
        <v>2</v>
      </c>
      <c r="F74" s="6">
        <v>1</v>
      </c>
      <c r="G74" s="1"/>
      <c r="H74" s="1"/>
      <c r="I74" s="6"/>
      <c r="J74" s="6"/>
      <c r="K74" s="6"/>
      <c r="L74" s="1"/>
      <c r="M74" s="1"/>
      <c r="N74" s="1"/>
      <c r="O74" s="6"/>
      <c r="P74" s="6"/>
      <c r="Q74" s="6"/>
      <c r="R74" s="7" t="s">
        <v>60</v>
      </c>
      <c r="S74" s="7"/>
      <c r="T74" s="12"/>
      <c r="U74" s="12"/>
    </row>
    <row r="75" spans="1:22" ht="17.100000000000001">
      <c r="A75" s="6">
        <v>52</v>
      </c>
      <c r="B75" s="6" t="s">
        <v>145</v>
      </c>
      <c r="C75" s="7" t="s">
        <v>146</v>
      </c>
      <c r="D75" s="6">
        <v>2</v>
      </c>
      <c r="E75" s="6">
        <v>2</v>
      </c>
      <c r="F75" s="6">
        <v>0</v>
      </c>
      <c r="G75" s="1"/>
      <c r="H75" s="1"/>
      <c r="I75" s="6"/>
      <c r="J75" s="6"/>
      <c r="K75" s="6"/>
      <c r="L75" s="1"/>
      <c r="M75" s="1"/>
      <c r="N75" s="1"/>
      <c r="O75" s="6"/>
      <c r="P75" s="6"/>
      <c r="Q75" s="6"/>
      <c r="R75" s="7"/>
      <c r="S75" s="7"/>
      <c r="T75" s="12"/>
      <c r="U75" s="12"/>
    </row>
    <row r="76" spans="1:22" ht="17.100000000000001">
      <c r="A76" s="6">
        <v>53</v>
      </c>
      <c r="B76" s="6" t="s">
        <v>147</v>
      </c>
      <c r="C76" s="7" t="s">
        <v>148</v>
      </c>
      <c r="D76" s="6">
        <v>2</v>
      </c>
      <c r="E76" s="6">
        <v>2</v>
      </c>
      <c r="F76" s="6">
        <v>0</v>
      </c>
      <c r="G76" s="1"/>
      <c r="H76" s="1"/>
      <c r="I76" s="6"/>
      <c r="J76" s="11"/>
      <c r="K76" s="6"/>
      <c r="L76" s="1"/>
      <c r="M76" s="1"/>
      <c r="N76" s="1"/>
      <c r="O76" s="6"/>
      <c r="P76" s="6"/>
      <c r="Q76" s="6"/>
      <c r="R76" s="7" t="s">
        <v>115</v>
      </c>
      <c r="S76" s="7"/>
      <c r="T76" s="12"/>
      <c r="U76" s="12"/>
    </row>
    <row r="77" spans="1:22" ht="17.100000000000001">
      <c r="A77" s="6">
        <v>54</v>
      </c>
      <c r="B77" s="6" t="s">
        <v>149</v>
      </c>
      <c r="C77" s="7" t="s">
        <v>150</v>
      </c>
      <c r="D77" s="6">
        <v>3</v>
      </c>
      <c r="E77" s="6">
        <v>3</v>
      </c>
      <c r="F77" s="6">
        <v>0</v>
      </c>
      <c r="G77" s="1"/>
      <c r="H77" s="1"/>
      <c r="I77" s="6"/>
      <c r="J77" s="11"/>
      <c r="K77" s="6"/>
      <c r="L77" s="1"/>
      <c r="M77" s="1"/>
      <c r="N77" s="1"/>
      <c r="O77" s="6"/>
      <c r="P77" s="6"/>
      <c r="Q77" s="6"/>
      <c r="R77" s="7" t="s">
        <v>75</v>
      </c>
      <c r="S77" s="7"/>
      <c r="T77" s="12"/>
      <c r="U77" s="12"/>
    </row>
    <row r="78" spans="1:22" ht="17.100000000000001">
      <c r="A78" s="6">
        <v>55</v>
      </c>
      <c r="B78" s="6" t="s">
        <v>151</v>
      </c>
      <c r="C78" s="7" t="s">
        <v>152</v>
      </c>
      <c r="D78" s="6">
        <v>3</v>
      </c>
      <c r="E78" s="6">
        <v>3</v>
      </c>
      <c r="F78" s="6">
        <v>0</v>
      </c>
      <c r="G78" s="1"/>
      <c r="H78" s="1"/>
      <c r="I78" s="6"/>
      <c r="J78" s="11"/>
      <c r="K78" s="6"/>
      <c r="L78" s="1"/>
      <c r="M78" s="1"/>
      <c r="N78" s="1"/>
      <c r="O78" s="6"/>
      <c r="P78" s="6"/>
      <c r="Q78" s="6"/>
      <c r="R78" s="7"/>
      <c r="S78" s="7"/>
      <c r="T78" s="12"/>
      <c r="U78" s="12"/>
    </row>
    <row r="79" spans="1:22" ht="17.100000000000001">
      <c r="A79" s="6">
        <v>56</v>
      </c>
      <c r="B79" s="6" t="s">
        <v>153</v>
      </c>
      <c r="C79" s="7" t="s">
        <v>154</v>
      </c>
      <c r="D79" s="6">
        <v>2</v>
      </c>
      <c r="E79" s="6">
        <v>2</v>
      </c>
      <c r="F79" s="6">
        <v>0</v>
      </c>
      <c r="G79" s="1"/>
      <c r="H79" s="1"/>
      <c r="I79" s="6"/>
      <c r="J79" s="11"/>
      <c r="K79" s="6"/>
      <c r="L79" s="1"/>
      <c r="M79" s="1"/>
      <c r="N79" s="1"/>
      <c r="O79" s="6"/>
      <c r="P79" s="6"/>
      <c r="Q79" s="6"/>
      <c r="R79" s="7" t="s">
        <v>60</v>
      </c>
      <c r="S79" s="7"/>
      <c r="T79" s="12"/>
      <c r="U79" s="12"/>
    </row>
    <row r="80" spans="1:22" ht="17.100000000000001">
      <c r="A80" s="6">
        <v>57</v>
      </c>
      <c r="B80" s="6" t="s">
        <v>155</v>
      </c>
      <c r="C80" s="7" t="s">
        <v>156</v>
      </c>
      <c r="D80" s="6">
        <v>2</v>
      </c>
      <c r="E80" s="6">
        <v>1</v>
      </c>
      <c r="F80" s="6">
        <v>1</v>
      </c>
      <c r="G80" s="1"/>
      <c r="H80" s="1"/>
      <c r="I80" s="6"/>
      <c r="J80" s="11"/>
      <c r="K80" s="6"/>
      <c r="L80" s="1"/>
      <c r="M80" s="1"/>
      <c r="N80" s="1"/>
      <c r="O80" s="6"/>
      <c r="P80" s="6"/>
      <c r="Q80" s="6"/>
      <c r="R80" s="7" t="s">
        <v>117</v>
      </c>
      <c r="S80" s="7"/>
      <c r="T80" s="12"/>
      <c r="U80" s="12"/>
    </row>
    <row r="81" spans="1:22" ht="17.100000000000001">
      <c r="A81" s="6"/>
      <c r="B81" s="26" t="s">
        <v>157</v>
      </c>
      <c r="C81" s="27" t="s">
        <v>158</v>
      </c>
      <c r="D81" s="6">
        <v>2</v>
      </c>
      <c r="E81" s="6">
        <v>1.5</v>
      </c>
      <c r="F81" s="6">
        <v>0.5</v>
      </c>
      <c r="G81" s="1"/>
      <c r="H81" s="1"/>
      <c r="I81" s="11">
        <v>2</v>
      </c>
      <c r="J81" s="11"/>
      <c r="K81" s="6"/>
      <c r="L81" s="1"/>
      <c r="M81" s="1"/>
      <c r="N81" s="1"/>
      <c r="O81" s="6"/>
      <c r="P81" s="6"/>
      <c r="Q81" s="6"/>
      <c r="R81" s="7"/>
      <c r="S81" s="7"/>
      <c r="T81" s="12"/>
      <c r="U81" s="12"/>
      <c r="V81" s="20" t="s">
        <v>50</v>
      </c>
    </row>
    <row r="82" spans="1:22" ht="17.100000000000001">
      <c r="A82" s="6"/>
      <c r="B82" s="26" t="s">
        <v>159</v>
      </c>
      <c r="C82" s="24" t="s">
        <v>160</v>
      </c>
      <c r="D82" s="6">
        <v>2</v>
      </c>
      <c r="E82" s="6">
        <v>1.5</v>
      </c>
      <c r="F82" s="6">
        <v>0.5</v>
      </c>
      <c r="G82" s="1"/>
      <c r="H82" s="1"/>
      <c r="I82" s="11"/>
      <c r="J82" s="11"/>
      <c r="K82" s="6"/>
      <c r="L82" s="1"/>
      <c r="M82" s="1"/>
      <c r="N82" s="1"/>
      <c r="O82" s="6"/>
      <c r="P82" s="6"/>
      <c r="Q82" s="6"/>
      <c r="R82" s="7"/>
      <c r="S82" s="7"/>
      <c r="T82" s="12"/>
      <c r="U82" s="12"/>
      <c r="V82" s="20" t="s">
        <v>50</v>
      </c>
    </row>
    <row r="83" spans="1:22" ht="15.95">
      <c r="A83" s="40"/>
      <c r="B83" s="41" t="s">
        <v>161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5"/>
      <c r="S83" s="5"/>
      <c r="T83" s="12"/>
      <c r="U83" s="12"/>
    </row>
    <row r="84" spans="1:22" ht="15.95">
      <c r="A84" s="40"/>
      <c r="B84" s="43" t="s">
        <v>162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"/>
      <c r="S84" s="4"/>
      <c r="T84" s="12"/>
      <c r="U84" s="12"/>
    </row>
    <row r="85" spans="1:22" ht="17.100000000000001">
      <c r="A85" s="4" t="s">
        <v>163</v>
      </c>
      <c r="B85" s="45" t="s">
        <v>164</v>
      </c>
      <c r="C85" s="45"/>
      <c r="D85" s="4">
        <f>SUM(D86:D90)</f>
        <v>21</v>
      </c>
      <c r="E85" s="4">
        <f>SUM(E86:E90)</f>
        <v>0</v>
      </c>
      <c r="F85" s="4">
        <f>SUM(F86:F90)</f>
        <v>21</v>
      </c>
      <c r="G85" s="3"/>
      <c r="H85" s="3"/>
      <c r="I85" s="4"/>
      <c r="J85" s="4"/>
      <c r="K85" s="4"/>
      <c r="L85" s="3"/>
      <c r="M85" s="3"/>
      <c r="N85" s="3"/>
      <c r="O85" s="4"/>
      <c r="P85" s="4"/>
      <c r="Q85" s="4"/>
      <c r="R85" s="7"/>
      <c r="S85" s="6"/>
      <c r="T85" s="12"/>
      <c r="U85" s="12"/>
    </row>
    <row r="86" spans="1:22" ht="17.100000000000001">
      <c r="A86" s="6">
        <v>58</v>
      </c>
      <c r="B86" s="6" t="s">
        <v>165</v>
      </c>
      <c r="C86" s="7" t="s">
        <v>166</v>
      </c>
      <c r="D86" s="6">
        <v>2</v>
      </c>
      <c r="E86" s="6">
        <v>0</v>
      </c>
      <c r="F86" s="6">
        <v>2</v>
      </c>
      <c r="G86" s="1"/>
      <c r="H86" s="1"/>
      <c r="I86" s="6"/>
      <c r="J86" s="6"/>
      <c r="K86" s="6"/>
      <c r="L86" s="1"/>
      <c r="M86" s="14"/>
      <c r="N86" s="1">
        <v>2</v>
      </c>
      <c r="O86" s="6"/>
      <c r="P86" s="6"/>
      <c r="Q86" s="6"/>
      <c r="R86" s="7"/>
      <c r="S86" s="6"/>
      <c r="T86" s="12"/>
      <c r="U86" s="12"/>
    </row>
    <row r="87" spans="1:22" ht="17.100000000000001">
      <c r="A87" s="6">
        <v>59</v>
      </c>
      <c r="B87" s="6" t="s">
        <v>167</v>
      </c>
      <c r="C87" s="7" t="s">
        <v>168</v>
      </c>
      <c r="D87" s="6">
        <v>3</v>
      </c>
      <c r="E87" s="6">
        <v>0</v>
      </c>
      <c r="F87" s="6">
        <v>3</v>
      </c>
      <c r="G87" s="1"/>
      <c r="H87" s="1"/>
      <c r="I87" s="6"/>
      <c r="J87" s="6"/>
      <c r="K87" s="6"/>
      <c r="L87" s="1"/>
      <c r="M87" s="14"/>
      <c r="N87" s="1"/>
      <c r="O87" s="6"/>
      <c r="P87" s="6">
        <v>3</v>
      </c>
      <c r="Q87" s="6"/>
      <c r="R87" s="7"/>
      <c r="S87" s="6"/>
      <c r="T87" s="12"/>
      <c r="U87" s="12"/>
    </row>
    <row r="88" spans="1:22" ht="17.100000000000001">
      <c r="A88" s="6">
        <v>60</v>
      </c>
      <c r="B88" s="6" t="s">
        <v>169</v>
      </c>
      <c r="C88" s="7" t="s">
        <v>170</v>
      </c>
      <c r="D88" s="6">
        <v>2</v>
      </c>
      <c r="E88" s="6">
        <v>0</v>
      </c>
      <c r="F88" s="6">
        <v>2</v>
      </c>
      <c r="G88" s="1"/>
      <c r="H88" s="1"/>
      <c r="I88" s="6"/>
      <c r="J88" s="6"/>
      <c r="K88" s="6"/>
      <c r="L88" s="1"/>
      <c r="M88" s="14"/>
      <c r="N88" s="1"/>
      <c r="O88" s="6"/>
      <c r="P88" s="6">
        <v>2</v>
      </c>
      <c r="Q88" s="6"/>
      <c r="R88" s="7"/>
      <c r="S88" s="6"/>
      <c r="T88" s="12"/>
      <c r="U88" s="12"/>
    </row>
    <row r="89" spans="1:22" ht="17.100000000000001">
      <c r="A89" s="6">
        <v>61</v>
      </c>
      <c r="B89" s="6" t="s">
        <v>171</v>
      </c>
      <c r="C89" s="7" t="s">
        <v>172</v>
      </c>
      <c r="D89" s="6">
        <v>4</v>
      </c>
      <c r="E89" s="6">
        <v>0</v>
      </c>
      <c r="F89" s="6">
        <v>4</v>
      </c>
      <c r="G89" s="1"/>
      <c r="H89" s="1"/>
      <c r="I89" s="6"/>
      <c r="J89" s="6"/>
      <c r="K89" s="6"/>
      <c r="L89" s="1"/>
      <c r="M89" s="14"/>
      <c r="N89" s="1"/>
      <c r="O89" s="6"/>
      <c r="P89" s="6">
        <v>4</v>
      </c>
      <c r="Q89" s="6"/>
      <c r="R89" s="7"/>
      <c r="S89" s="6"/>
      <c r="T89" s="12"/>
      <c r="U89" s="12"/>
    </row>
    <row r="90" spans="1:22" ht="17.100000000000001">
      <c r="A90" s="6">
        <v>62</v>
      </c>
      <c r="B90" s="6" t="s">
        <v>173</v>
      </c>
      <c r="C90" s="7" t="s">
        <v>174</v>
      </c>
      <c r="D90" s="6">
        <v>10</v>
      </c>
      <c r="E90" s="6">
        <v>0</v>
      </c>
      <c r="F90" s="6">
        <v>10</v>
      </c>
      <c r="G90" s="1"/>
      <c r="H90" s="1"/>
      <c r="I90" s="6"/>
      <c r="J90" s="6"/>
      <c r="K90" s="6"/>
      <c r="L90" s="1"/>
      <c r="M90" s="14"/>
      <c r="N90" s="1"/>
      <c r="O90" s="6"/>
      <c r="P90" s="6"/>
      <c r="Q90" s="6">
        <v>10</v>
      </c>
      <c r="R90" s="7"/>
      <c r="S90" s="6"/>
      <c r="T90" s="12"/>
      <c r="U90" s="12"/>
    </row>
    <row r="91" spans="1:22" customFormat="1" ht="17.100000000000001">
      <c r="A91" s="4" t="s">
        <v>175</v>
      </c>
      <c r="B91" s="41" t="s">
        <v>176</v>
      </c>
      <c r="C91" s="46"/>
      <c r="D91" s="6"/>
      <c r="E91" s="6"/>
      <c r="F91" s="6"/>
      <c r="G91" s="1"/>
      <c r="H91" s="1"/>
      <c r="I91" s="6"/>
      <c r="J91" s="6"/>
      <c r="K91" s="6"/>
      <c r="L91" s="14"/>
      <c r="M91" s="1"/>
      <c r="N91" s="1"/>
      <c r="O91" s="6"/>
      <c r="P91" s="6"/>
      <c r="Q91" s="7"/>
      <c r="R91" s="7"/>
      <c r="S91" s="25"/>
      <c r="T91" s="25"/>
      <c r="U91" s="36"/>
    </row>
    <row r="92" spans="1:22" ht="15.95">
      <c r="A92" s="8"/>
      <c r="B92" s="45" t="s">
        <v>177</v>
      </c>
      <c r="C92" s="45"/>
      <c r="D92" s="4">
        <f>SUM(D85,D64,D57,D50,D47,D30,D25,D10)</f>
        <v>132</v>
      </c>
      <c r="E92" s="6"/>
      <c r="F92" s="6"/>
      <c r="G92" s="2"/>
      <c r="H92" s="2"/>
      <c r="I92" s="7"/>
      <c r="J92" s="7"/>
      <c r="K92" s="7"/>
      <c r="L92" s="2"/>
      <c r="M92" s="2"/>
      <c r="N92" s="2"/>
      <c r="O92" s="7"/>
      <c r="P92" s="7"/>
      <c r="Q92" s="7"/>
      <c r="R92" s="7"/>
      <c r="S92" s="6"/>
      <c r="T92" s="12"/>
      <c r="U92" s="12"/>
    </row>
    <row r="93" spans="1:22">
      <c r="G93" s="17"/>
      <c r="H93" s="17"/>
      <c r="I93" s="17"/>
    </row>
    <row r="94" spans="1:22" ht="15.95">
      <c r="G94" s="17"/>
      <c r="H94" s="17"/>
      <c r="I94" s="17"/>
      <c r="R94" s="39" t="s">
        <v>178</v>
      </c>
      <c r="S94" s="39"/>
      <c r="T94" s="39"/>
      <c r="U94" s="39"/>
    </row>
    <row r="95" spans="1:22">
      <c r="G95" s="17"/>
      <c r="H95" s="17"/>
      <c r="I95" s="17"/>
    </row>
    <row r="96" spans="1:22">
      <c r="G96" s="17"/>
      <c r="H96" s="17"/>
      <c r="I96" s="17"/>
    </row>
    <row r="97" spans="1:9">
      <c r="G97" s="17"/>
      <c r="H97" s="17"/>
      <c r="I97" s="17"/>
    </row>
    <row r="98" spans="1:9">
      <c r="G98" s="17"/>
      <c r="H98" s="17"/>
      <c r="I98" s="17"/>
    </row>
    <row r="99" spans="1:9" ht="15.95">
      <c r="A99" s="28" t="s">
        <v>179</v>
      </c>
      <c r="B99" s="20"/>
      <c r="C99" s="20"/>
      <c r="D99" s="22"/>
      <c r="G99" s="17"/>
      <c r="H99" s="17"/>
      <c r="I99" s="17"/>
    </row>
    <row r="100" spans="1:9" ht="15.95">
      <c r="A100" s="20"/>
      <c r="B100" s="29"/>
      <c r="C100" s="20" t="s">
        <v>180</v>
      </c>
      <c r="D100" s="22"/>
      <c r="G100" s="17"/>
      <c r="H100" s="17"/>
      <c r="I100" s="17"/>
    </row>
    <row r="101" spans="1:9" ht="15.95">
      <c r="A101" s="20"/>
      <c r="B101" s="30"/>
      <c r="C101" s="20" t="s">
        <v>181</v>
      </c>
      <c r="D101" s="22"/>
      <c r="G101" s="17"/>
      <c r="H101" s="17"/>
      <c r="I101" s="17"/>
    </row>
    <row r="102" spans="1:9" ht="15.95">
      <c r="A102" s="20"/>
      <c r="B102" s="20"/>
      <c r="C102" s="31" t="s">
        <v>182</v>
      </c>
      <c r="D102" s="22"/>
      <c r="G102" s="17"/>
      <c r="H102" s="17"/>
      <c r="I102" s="17"/>
    </row>
    <row r="103" spans="1:9">
      <c r="G103" s="17"/>
      <c r="H103" s="17"/>
      <c r="I103" s="17"/>
    </row>
    <row r="104" spans="1:9">
      <c r="G104" s="17"/>
      <c r="H104" s="17"/>
      <c r="I104" s="17"/>
    </row>
    <row r="105" spans="1:9">
      <c r="G105" s="17"/>
      <c r="H105" s="17"/>
      <c r="I105" s="17"/>
    </row>
    <row r="106" spans="1:9">
      <c r="G106" s="17"/>
      <c r="H106" s="17"/>
      <c r="I106" s="17"/>
    </row>
    <row r="107" spans="1:9">
      <c r="G107" s="17"/>
      <c r="H107" s="17"/>
      <c r="I107" s="17"/>
    </row>
    <row r="108" spans="1:9">
      <c r="G108" s="17"/>
      <c r="H108" s="17"/>
      <c r="I108" s="17"/>
    </row>
    <row r="109" spans="1:9">
      <c r="G109" s="17"/>
      <c r="H109" s="17"/>
      <c r="I109" s="17"/>
    </row>
    <row r="110" spans="1:9">
      <c r="G110" s="17"/>
      <c r="H110" s="17"/>
      <c r="I110" s="17"/>
    </row>
    <row r="111" spans="1:9">
      <c r="G111" s="17"/>
      <c r="H111" s="17"/>
      <c r="I111" s="17"/>
    </row>
    <row r="112" spans="1:9">
      <c r="G112" s="17"/>
      <c r="H112" s="17"/>
      <c r="I112" s="17"/>
    </row>
    <row r="113" spans="7:9">
      <c r="G113" s="17"/>
      <c r="H113" s="17"/>
      <c r="I113" s="17"/>
    </row>
    <row r="114" spans="7:9">
      <c r="G114" s="17"/>
      <c r="H114" s="17"/>
      <c r="I114" s="17"/>
    </row>
    <row r="115" spans="7:9">
      <c r="G115" s="17"/>
      <c r="H115" s="17"/>
      <c r="I115" s="17"/>
    </row>
    <row r="116" spans="7:9">
      <c r="G116" s="17"/>
      <c r="H116" s="17"/>
      <c r="I116" s="17"/>
    </row>
    <row r="117" spans="7:9">
      <c r="G117" s="17"/>
      <c r="H117" s="17"/>
      <c r="I117" s="17"/>
    </row>
    <row r="118" spans="7:9">
      <c r="G118" s="17"/>
      <c r="H118" s="17"/>
      <c r="I118" s="17"/>
    </row>
    <row r="119" spans="7:9">
      <c r="G119" s="17"/>
      <c r="H119" s="17"/>
      <c r="I119" s="17"/>
    </row>
    <row r="120" spans="7:9">
      <c r="G120" s="17"/>
      <c r="H120" s="17"/>
      <c r="I120" s="17"/>
    </row>
    <row r="121" spans="7:9">
      <c r="G121" s="17"/>
      <c r="H121" s="17"/>
      <c r="I121" s="17"/>
    </row>
    <row r="122" spans="7:9">
      <c r="G122" s="17"/>
      <c r="H122" s="17"/>
      <c r="I122" s="17"/>
    </row>
    <row r="123" spans="7:9">
      <c r="G123" s="17"/>
      <c r="H123" s="17"/>
      <c r="I123" s="17"/>
    </row>
    <row r="124" spans="7:9">
      <c r="G124" s="17"/>
      <c r="H124" s="17"/>
      <c r="I124" s="17"/>
    </row>
    <row r="125" spans="7:9">
      <c r="G125" s="17"/>
      <c r="H125" s="17"/>
      <c r="I125" s="17"/>
    </row>
    <row r="126" spans="7:9">
      <c r="G126" s="17"/>
      <c r="H126" s="17"/>
      <c r="I126" s="17"/>
    </row>
    <row r="127" spans="7:9">
      <c r="G127" s="17"/>
      <c r="H127" s="17"/>
      <c r="I127" s="17"/>
    </row>
    <row r="128" spans="7:9">
      <c r="G128" s="17"/>
      <c r="H128" s="17"/>
      <c r="I128" s="17"/>
    </row>
    <row r="129" spans="7:9">
      <c r="G129" s="17"/>
      <c r="H129" s="17"/>
      <c r="I129" s="17"/>
    </row>
    <row r="130" spans="7:9">
      <c r="G130" s="17"/>
      <c r="H130" s="17"/>
      <c r="I130" s="17"/>
    </row>
    <row r="131" spans="7:9">
      <c r="G131" s="17"/>
      <c r="H131" s="17"/>
      <c r="I131" s="17"/>
    </row>
    <row r="132" spans="7:9">
      <c r="G132" s="17"/>
      <c r="H132" s="17"/>
      <c r="I132" s="17"/>
    </row>
    <row r="133" spans="7:9">
      <c r="G133" s="17"/>
      <c r="H133" s="17"/>
      <c r="I133" s="17"/>
    </row>
    <row r="134" spans="7:9">
      <c r="G134" s="17"/>
      <c r="H134" s="17"/>
      <c r="I134" s="17"/>
    </row>
    <row r="135" spans="7:9">
      <c r="G135" s="17"/>
      <c r="H135" s="17"/>
      <c r="I135" s="17"/>
    </row>
    <row r="136" spans="7:9">
      <c r="G136" s="17"/>
      <c r="H136" s="17"/>
      <c r="I136" s="17"/>
    </row>
    <row r="137" spans="7:9">
      <c r="G137" s="17"/>
      <c r="H137" s="17"/>
      <c r="I137" s="17"/>
    </row>
    <row r="138" spans="7:9">
      <c r="G138" s="17"/>
      <c r="H138" s="17"/>
      <c r="I138" s="17"/>
    </row>
    <row r="139" spans="7:9">
      <c r="G139" s="17"/>
      <c r="H139" s="17"/>
      <c r="I139" s="17"/>
    </row>
    <row r="140" spans="7:9">
      <c r="G140" s="17"/>
      <c r="H140" s="17"/>
      <c r="I140" s="17"/>
    </row>
    <row r="141" spans="7:9">
      <c r="G141" s="17"/>
      <c r="H141" s="17"/>
      <c r="I141" s="17"/>
    </row>
    <row r="142" spans="7:9">
      <c r="G142" s="17"/>
      <c r="H142" s="17"/>
      <c r="I142" s="17"/>
    </row>
    <row r="143" spans="7:9">
      <c r="G143" s="17"/>
      <c r="H143" s="17"/>
      <c r="I143" s="17"/>
    </row>
    <row r="144" spans="7:9">
      <c r="G144" s="17"/>
      <c r="H144" s="17"/>
      <c r="I144" s="17"/>
    </row>
    <row r="145" spans="7:9">
      <c r="G145" s="17"/>
      <c r="H145" s="17"/>
      <c r="I145" s="17"/>
    </row>
    <row r="146" spans="7:9">
      <c r="G146" s="17"/>
      <c r="H146" s="17"/>
      <c r="I146" s="17"/>
    </row>
    <row r="147" spans="7:9">
      <c r="G147" s="17"/>
      <c r="H147" s="17"/>
      <c r="I147" s="17"/>
    </row>
    <row r="148" spans="7:9">
      <c r="G148" s="17"/>
      <c r="H148" s="17"/>
      <c r="I148" s="17"/>
    </row>
    <row r="149" spans="7:9">
      <c r="G149" s="17"/>
      <c r="H149" s="17"/>
      <c r="I149" s="17"/>
    </row>
    <row r="150" spans="7:9">
      <c r="G150" s="17"/>
      <c r="H150" s="17"/>
      <c r="I150" s="17"/>
    </row>
    <row r="151" spans="7:9">
      <c r="G151" s="17"/>
      <c r="H151" s="17"/>
      <c r="I151" s="17"/>
    </row>
    <row r="152" spans="7:9">
      <c r="G152" s="17"/>
      <c r="H152" s="17"/>
      <c r="I152" s="17"/>
    </row>
    <row r="153" spans="7:9">
      <c r="G153" s="17"/>
      <c r="H153" s="17"/>
      <c r="I153" s="17"/>
    </row>
    <row r="154" spans="7:9">
      <c r="G154" s="17"/>
      <c r="H154" s="17"/>
      <c r="I154" s="17"/>
    </row>
    <row r="155" spans="7:9">
      <c r="G155" s="17"/>
      <c r="H155" s="17"/>
      <c r="I155" s="17"/>
    </row>
    <row r="156" spans="7:9">
      <c r="G156" s="17"/>
      <c r="H156" s="17"/>
      <c r="I156" s="17"/>
    </row>
    <row r="157" spans="7:9">
      <c r="G157" s="17"/>
      <c r="H157" s="17"/>
      <c r="I157" s="17"/>
    </row>
    <row r="158" spans="7:9">
      <c r="G158" s="17"/>
      <c r="H158" s="17"/>
      <c r="I158" s="17"/>
    </row>
    <row r="159" spans="7:9">
      <c r="G159" s="17"/>
      <c r="H159" s="17"/>
      <c r="I159" s="17"/>
    </row>
    <row r="160" spans="7:9">
      <c r="G160" s="17"/>
      <c r="H160" s="17"/>
      <c r="I160" s="17"/>
    </row>
    <row r="161" spans="7:9">
      <c r="G161" s="17"/>
      <c r="H161" s="17"/>
      <c r="I161" s="17"/>
    </row>
    <row r="162" spans="7:9">
      <c r="G162" s="17"/>
      <c r="H162" s="17"/>
      <c r="I162" s="17"/>
    </row>
    <row r="163" spans="7:9">
      <c r="G163" s="17"/>
      <c r="H163" s="17"/>
      <c r="I163" s="17"/>
    </row>
    <row r="164" spans="7:9">
      <c r="G164" s="17"/>
      <c r="H164" s="17"/>
      <c r="I164" s="17"/>
    </row>
    <row r="165" spans="7:9">
      <c r="G165" s="17"/>
      <c r="H165" s="17"/>
      <c r="I165" s="17"/>
    </row>
    <row r="166" spans="7:9">
      <c r="G166" s="17"/>
      <c r="H166" s="17"/>
      <c r="I166" s="17"/>
    </row>
    <row r="167" spans="7:9">
      <c r="G167" s="17"/>
      <c r="H167" s="17"/>
      <c r="I167" s="17"/>
    </row>
    <row r="168" spans="7:9">
      <c r="G168" s="17"/>
      <c r="H168" s="17"/>
      <c r="I168" s="17"/>
    </row>
    <row r="169" spans="7:9">
      <c r="G169" s="17"/>
      <c r="H169" s="17"/>
      <c r="I169" s="17"/>
    </row>
    <row r="170" spans="7:9">
      <c r="G170" s="17"/>
      <c r="H170" s="17"/>
      <c r="I170" s="17"/>
    </row>
    <row r="171" spans="7:9">
      <c r="G171" s="17"/>
      <c r="H171" s="17"/>
      <c r="I171" s="17"/>
    </row>
    <row r="172" spans="7:9">
      <c r="G172" s="17"/>
      <c r="H172" s="17"/>
      <c r="I172" s="17"/>
    </row>
    <row r="173" spans="7:9">
      <c r="G173" s="17"/>
      <c r="H173" s="17"/>
      <c r="I173" s="17"/>
    </row>
    <row r="174" spans="7:9">
      <c r="G174" s="17"/>
      <c r="H174" s="17"/>
      <c r="I174" s="17"/>
    </row>
    <row r="175" spans="7:9">
      <c r="G175" s="17"/>
      <c r="H175" s="17"/>
      <c r="I175" s="17"/>
    </row>
    <row r="176" spans="7:9">
      <c r="G176" s="17"/>
      <c r="H176" s="17"/>
      <c r="I176" s="17"/>
    </row>
    <row r="177" spans="7:9">
      <c r="G177" s="17"/>
      <c r="H177" s="17"/>
      <c r="I177" s="17"/>
    </row>
    <row r="178" spans="7:9">
      <c r="G178" s="17"/>
      <c r="H178" s="17"/>
      <c r="I178" s="17"/>
    </row>
    <row r="179" spans="7:9">
      <c r="G179" s="17"/>
      <c r="H179" s="17"/>
      <c r="I179" s="17"/>
    </row>
    <row r="180" spans="7:9">
      <c r="G180" s="17"/>
      <c r="H180" s="17"/>
      <c r="I180" s="17"/>
    </row>
    <row r="181" spans="7:9">
      <c r="G181" s="17"/>
      <c r="H181" s="17"/>
      <c r="I181" s="17"/>
    </row>
    <row r="182" spans="7:9">
      <c r="G182" s="17"/>
      <c r="H182" s="17"/>
      <c r="I182" s="17"/>
    </row>
    <row r="183" spans="7:9">
      <c r="G183" s="17"/>
      <c r="H183" s="17"/>
      <c r="I183" s="17"/>
    </row>
    <row r="184" spans="7:9">
      <c r="G184" s="17"/>
      <c r="H184" s="17"/>
      <c r="I184" s="17"/>
    </row>
    <row r="185" spans="7:9">
      <c r="G185" s="17"/>
      <c r="H185" s="17"/>
      <c r="I185" s="17"/>
    </row>
    <row r="186" spans="7:9">
      <c r="G186" s="17"/>
      <c r="H186" s="17"/>
      <c r="I186" s="17"/>
    </row>
    <row r="187" spans="7:9">
      <c r="G187" s="17"/>
      <c r="H187" s="17"/>
      <c r="I187" s="17"/>
    </row>
    <row r="188" spans="7:9">
      <c r="G188" s="17"/>
      <c r="H188" s="17"/>
      <c r="I188" s="17"/>
    </row>
    <row r="189" spans="7:9">
      <c r="G189" s="17"/>
      <c r="H189" s="17"/>
      <c r="I189" s="17"/>
    </row>
    <row r="190" spans="7:9">
      <c r="G190" s="17"/>
      <c r="H190" s="17"/>
      <c r="I190" s="17"/>
    </row>
    <row r="191" spans="7:9">
      <c r="G191" s="17"/>
      <c r="H191" s="17"/>
      <c r="I191" s="17"/>
    </row>
    <row r="192" spans="7:9">
      <c r="G192" s="17"/>
      <c r="H192" s="17"/>
      <c r="I192" s="17"/>
    </row>
    <row r="193" spans="7:9">
      <c r="G193" s="17"/>
      <c r="H193" s="17"/>
      <c r="I193" s="17"/>
    </row>
    <row r="194" spans="7:9">
      <c r="G194" s="17"/>
      <c r="H194" s="17"/>
      <c r="I194" s="17"/>
    </row>
    <row r="195" spans="7:9">
      <c r="G195" s="17"/>
      <c r="H195" s="17"/>
      <c r="I195" s="17"/>
    </row>
    <row r="196" spans="7:9">
      <c r="G196" s="17"/>
      <c r="H196" s="17"/>
      <c r="I196" s="17"/>
    </row>
    <row r="197" spans="7:9">
      <c r="G197" s="17"/>
      <c r="H197" s="17"/>
      <c r="I197" s="17"/>
    </row>
    <row r="198" spans="7:9">
      <c r="G198" s="17"/>
      <c r="H198" s="17"/>
      <c r="I198" s="17"/>
    </row>
    <row r="199" spans="7:9">
      <c r="G199" s="17"/>
      <c r="H199" s="17"/>
      <c r="I199" s="17"/>
    </row>
    <row r="200" spans="7:9">
      <c r="G200" s="17"/>
      <c r="H200" s="17"/>
      <c r="I200" s="17"/>
    </row>
    <row r="201" spans="7:9">
      <c r="G201" s="17"/>
      <c r="H201" s="17"/>
      <c r="I201" s="17"/>
    </row>
    <row r="202" spans="7:9">
      <c r="G202" s="17"/>
      <c r="H202" s="17"/>
      <c r="I202" s="17"/>
    </row>
    <row r="203" spans="7:9">
      <c r="G203" s="17"/>
      <c r="H203" s="17"/>
      <c r="I203" s="17"/>
    </row>
    <row r="204" spans="7:9">
      <c r="G204" s="17"/>
      <c r="H204" s="17"/>
      <c r="I204" s="17"/>
    </row>
    <row r="205" spans="7:9">
      <c r="G205" s="17"/>
      <c r="H205" s="17"/>
      <c r="I205" s="17"/>
    </row>
    <row r="206" spans="7:9">
      <c r="G206" s="17"/>
      <c r="H206" s="17"/>
      <c r="I206" s="17"/>
    </row>
    <row r="207" spans="7:9">
      <c r="G207" s="17"/>
      <c r="H207" s="17"/>
      <c r="I207" s="17"/>
    </row>
    <row r="208" spans="7:9">
      <c r="G208" s="17"/>
      <c r="H208" s="17"/>
      <c r="I208" s="17"/>
    </row>
    <row r="209" spans="7:9">
      <c r="G209" s="17"/>
      <c r="H209" s="17"/>
      <c r="I209" s="17"/>
    </row>
    <row r="210" spans="7:9">
      <c r="G210" s="17"/>
      <c r="H210" s="17"/>
      <c r="I210" s="17"/>
    </row>
    <row r="211" spans="7:9">
      <c r="G211" s="17"/>
      <c r="H211" s="17"/>
      <c r="I211" s="17"/>
    </row>
    <row r="212" spans="7:9">
      <c r="G212" s="17"/>
      <c r="H212" s="17"/>
      <c r="I212" s="17"/>
    </row>
    <row r="213" spans="7:9">
      <c r="G213" s="17"/>
      <c r="H213" s="17"/>
      <c r="I213" s="17"/>
    </row>
    <row r="214" spans="7:9">
      <c r="G214" s="17"/>
      <c r="H214" s="17"/>
      <c r="I214" s="17"/>
    </row>
    <row r="215" spans="7:9">
      <c r="G215" s="17"/>
      <c r="H215" s="17"/>
      <c r="I215" s="17"/>
    </row>
    <row r="216" spans="7:9">
      <c r="G216" s="17"/>
      <c r="H216" s="17"/>
      <c r="I216" s="17"/>
    </row>
    <row r="217" spans="7:9">
      <c r="G217" s="17"/>
      <c r="H217" s="17"/>
      <c r="I217" s="17"/>
    </row>
    <row r="218" spans="7:9">
      <c r="G218" s="17"/>
      <c r="H218" s="17"/>
      <c r="I218" s="17"/>
    </row>
    <row r="219" spans="7:9">
      <c r="G219" s="17"/>
      <c r="H219" s="17"/>
      <c r="I219" s="17"/>
    </row>
    <row r="220" spans="7:9">
      <c r="G220" s="17"/>
      <c r="H220" s="17"/>
      <c r="I220" s="17"/>
    </row>
    <row r="221" spans="7:9">
      <c r="G221" s="17"/>
      <c r="H221" s="17"/>
      <c r="I221" s="17"/>
    </row>
    <row r="222" spans="7:9">
      <c r="G222" s="17"/>
      <c r="H222" s="17"/>
      <c r="I222" s="17"/>
    </row>
    <row r="223" spans="7:9">
      <c r="G223" s="17"/>
      <c r="H223" s="17"/>
      <c r="I223" s="17"/>
    </row>
    <row r="224" spans="7:9">
      <c r="G224" s="17"/>
      <c r="H224" s="17"/>
      <c r="I224" s="17"/>
    </row>
    <row r="225" spans="7:9">
      <c r="G225" s="17"/>
      <c r="H225" s="17"/>
      <c r="I225" s="17"/>
    </row>
    <row r="226" spans="7:9">
      <c r="G226" s="17"/>
      <c r="H226" s="17"/>
      <c r="I226" s="17"/>
    </row>
    <row r="227" spans="7:9">
      <c r="G227" s="17"/>
      <c r="H227" s="17"/>
      <c r="I227" s="17"/>
    </row>
    <row r="228" spans="7:9">
      <c r="G228" s="17"/>
      <c r="H228" s="17"/>
      <c r="I228" s="17"/>
    </row>
    <row r="229" spans="7:9">
      <c r="G229" s="17"/>
      <c r="H229" s="17"/>
      <c r="I229" s="17"/>
    </row>
    <row r="230" spans="7:9">
      <c r="G230" s="17"/>
      <c r="H230" s="17"/>
      <c r="I230" s="17"/>
    </row>
    <row r="231" spans="7:9">
      <c r="G231" s="17"/>
      <c r="H231" s="17"/>
      <c r="I231" s="17"/>
    </row>
    <row r="232" spans="7:9">
      <c r="G232" s="17"/>
      <c r="H232" s="17"/>
      <c r="I232" s="17"/>
    </row>
    <row r="233" spans="7:9">
      <c r="G233" s="17"/>
      <c r="H233" s="17"/>
      <c r="I233" s="17"/>
    </row>
    <row r="234" spans="7:9">
      <c r="G234" s="17"/>
      <c r="H234" s="17"/>
      <c r="I234" s="17"/>
    </row>
    <row r="235" spans="7:9">
      <c r="G235" s="17"/>
      <c r="H235" s="17"/>
      <c r="I235" s="17"/>
    </row>
    <row r="236" spans="7:9">
      <c r="G236" s="17"/>
      <c r="H236" s="17"/>
      <c r="I236" s="17"/>
    </row>
    <row r="237" spans="7:9">
      <c r="G237" s="17"/>
      <c r="H237" s="17"/>
      <c r="I237" s="17"/>
    </row>
    <row r="238" spans="7:9">
      <c r="G238" s="17"/>
      <c r="H238" s="17"/>
      <c r="I238" s="17"/>
    </row>
    <row r="239" spans="7:9">
      <c r="G239" s="17"/>
      <c r="H239" s="17"/>
      <c r="I239" s="17"/>
    </row>
    <row r="240" spans="7:9">
      <c r="G240" s="17"/>
      <c r="H240" s="17"/>
      <c r="I240" s="17"/>
    </row>
    <row r="241" spans="7:9">
      <c r="G241" s="17"/>
      <c r="H241" s="17"/>
      <c r="I241" s="17"/>
    </row>
    <row r="242" spans="7:9">
      <c r="G242" s="17"/>
      <c r="H242" s="17"/>
      <c r="I242" s="17"/>
    </row>
    <row r="243" spans="7:9">
      <c r="G243" s="17"/>
      <c r="H243" s="17"/>
      <c r="I243" s="17"/>
    </row>
    <row r="244" spans="7:9">
      <c r="G244" s="17"/>
      <c r="H244" s="17"/>
      <c r="I244" s="17"/>
    </row>
    <row r="245" spans="7:9">
      <c r="G245" s="17"/>
      <c r="H245" s="17"/>
      <c r="I245" s="17"/>
    </row>
    <row r="246" spans="7:9">
      <c r="G246" s="17"/>
      <c r="H246" s="17"/>
      <c r="I246" s="17"/>
    </row>
    <row r="247" spans="7:9">
      <c r="G247" s="17"/>
      <c r="H247" s="17"/>
      <c r="I247" s="17"/>
    </row>
    <row r="248" spans="7:9">
      <c r="G248" s="17"/>
      <c r="H248" s="17"/>
      <c r="I248" s="17"/>
    </row>
    <row r="249" spans="7:9">
      <c r="G249" s="17"/>
      <c r="H249" s="17"/>
      <c r="I249" s="17"/>
    </row>
    <row r="250" spans="7:9">
      <c r="G250" s="17"/>
      <c r="H250" s="17"/>
      <c r="I250" s="17"/>
    </row>
    <row r="251" spans="7:9">
      <c r="G251" s="17"/>
      <c r="H251" s="17"/>
      <c r="I251" s="17"/>
    </row>
    <row r="252" spans="7:9">
      <c r="G252" s="17"/>
      <c r="H252" s="17"/>
      <c r="I252" s="17"/>
    </row>
    <row r="253" spans="7:9">
      <c r="G253" s="17"/>
      <c r="H253" s="17"/>
      <c r="I253" s="17"/>
    </row>
    <row r="254" spans="7:9">
      <c r="G254" s="17"/>
      <c r="H254" s="17"/>
      <c r="I254" s="17"/>
    </row>
    <row r="255" spans="7:9">
      <c r="G255" s="17"/>
      <c r="H255" s="17"/>
      <c r="I255" s="17"/>
    </row>
    <row r="256" spans="7:9">
      <c r="G256" s="17"/>
      <c r="H256" s="17"/>
      <c r="I256" s="17"/>
    </row>
    <row r="257" spans="7:9">
      <c r="G257" s="17"/>
      <c r="H257" s="17"/>
      <c r="I257" s="17"/>
    </row>
    <row r="258" spans="7:9">
      <c r="G258" s="17"/>
      <c r="H258" s="17"/>
      <c r="I258" s="17"/>
    </row>
    <row r="259" spans="7:9">
      <c r="G259" s="17"/>
      <c r="H259" s="17"/>
      <c r="I259" s="17"/>
    </row>
    <row r="260" spans="7:9">
      <c r="G260" s="17"/>
      <c r="H260" s="17"/>
      <c r="I260" s="17"/>
    </row>
    <row r="261" spans="7:9">
      <c r="G261" s="17"/>
      <c r="H261" s="17"/>
      <c r="I261" s="17"/>
    </row>
    <row r="262" spans="7:9">
      <c r="G262" s="17"/>
      <c r="H262" s="17"/>
      <c r="I262" s="17"/>
    </row>
    <row r="263" spans="7:9">
      <c r="G263" s="17"/>
      <c r="H263" s="17"/>
      <c r="I263" s="17"/>
    </row>
    <row r="264" spans="7:9">
      <c r="G264" s="17"/>
      <c r="H264" s="17"/>
      <c r="I264" s="17"/>
    </row>
    <row r="265" spans="7:9">
      <c r="G265" s="17"/>
      <c r="H265" s="17"/>
      <c r="I265" s="17"/>
    </row>
    <row r="266" spans="7:9">
      <c r="G266" s="17"/>
      <c r="H266" s="17"/>
      <c r="I266" s="17"/>
    </row>
    <row r="267" spans="7:9">
      <c r="G267" s="17"/>
      <c r="H267" s="17"/>
      <c r="I267" s="17"/>
    </row>
    <row r="268" spans="7:9">
      <c r="G268" s="17"/>
      <c r="H268" s="17"/>
      <c r="I268" s="17"/>
    </row>
    <row r="269" spans="7:9">
      <c r="G269" s="17"/>
      <c r="H269" s="17"/>
      <c r="I269" s="17"/>
    </row>
    <row r="270" spans="7:9">
      <c r="G270" s="17"/>
      <c r="H270" s="17"/>
      <c r="I270" s="17"/>
    </row>
    <row r="271" spans="7:9">
      <c r="G271" s="17"/>
      <c r="H271" s="17"/>
      <c r="I271" s="17"/>
    </row>
    <row r="272" spans="7:9">
      <c r="G272" s="17"/>
      <c r="H272" s="17"/>
      <c r="I272" s="17"/>
    </row>
    <row r="273" spans="7:9">
      <c r="G273" s="17"/>
      <c r="H273" s="17"/>
      <c r="I273" s="17"/>
    </row>
    <row r="274" spans="7:9">
      <c r="G274" s="17"/>
      <c r="H274" s="17"/>
      <c r="I274" s="17"/>
    </row>
    <row r="275" spans="7:9">
      <c r="G275" s="17"/>
      <c r="H275" s="17"/>
      <c r="I275" s="17"/>
    </row>
    <row r="276" spans="7:9">
      <c r="G276" s="17"/>
      <c r="H276" s="17"/>
      <c r="I276" s="17"/>
    </row>
    <row r="277" spans="7:9">
      <c r="G277" s="17"/>
      <c r="H277" s="17"/>
      <c r="I277" s="17"/>
    </row>
    <row r="278" spans="7:9">
      <c r="G278" s="17"/>
      <c r="H278" s="17"/>
      <c r="I278" s="17"/>
    </row>
    <row r="279" spans="7:9">
      <c r="G279" s="17"/>
      <c r="H279" s="17"/>
      <c r="I279" s="17"/>
    </row>
    <row r="280" spans="7:9">
      <c r="G280" s="17"/>
      <c r="H280" s="17"/>
      <c r="I280" s="17"/>
    </row>
    <row r="281" spans="7:9">
      <c r="G281" s="17"/>
      <c r="H281" s="17"/>
      <c r="I281" s="17"/>
    </row>
    <row r="282" spans="7:9">
      <c r="G282" s="17"/>
      <c r="H282" s="17"/>
      <c r="I282" s="17"/>
    </row>
    <row r="283" spans="7:9">
      <c r="G283" s="17"/>
      <c r="H283" s="17"/>
      <c r="I283" s="17"/>
    </row>
    <row r="284" spans="7:9">
      <c r="G284" s="17"/>
      <c r="H284" s="17"/>
      <c r="I284" s="17"/>
    </row>
    <row r="285" spans="7:9">
      <c r="G285" s="17"/>
      <c r="H285" s="17"/>
      <c r="I285" s="17"/>
    </row>
    <row r="286" spans="7:9">
      <c r="G286" s="17"/>
      <c r="H286" s="17"/>
      <c r="I286" s="17"/>
    </row>
    <row r="287" spans="7:9">
      <c r="G287" s="17"/>
      <c r="H287" s="17"/>
      <c r="I287" s="17"/>
    </row>
    <row r="288" spans="7:9">
      <c r="G288" s="17"/>
      <c r="H288" s="17"/>
      <c r="I288" s="17"/>
    </row>
    <row r="289" spans="7:9">
      <c r="G289" s="17"/>
      <c r="H289" s="17"/>
      <c r="I289" s="17"/>
    </row>
    <row r="290" spans="7:9">
      <c r="G290" s="17"/>
      <c r="H290" s="17"/>
      <c r="I290" s="17"/>
    </row>
    <row r="291" spans="7:9">
      <c r="G291" s="17"/>
      <c r="H291" s="17"/>
      <c r="I291" s="17"/>
    </row>
    <row r="292" spans="7:9">
      <c r="G292" s="17"/>
      <c r="H292" s="17"/>
      <c r="I292" s="17"/>
    </row>
    <row r="293" spans="7:9">
      <c r="G293" s="17"/>
      <c r="H293" s="17"/>
      <c r="I293" s="17"/>
    </row>
    <row r="294" spans="7:9">
      <c r="G294" s="17"/>
      <c r="H294" s="17"/>
      <c r="I294" s="17"/>
    </row>
    <row r="295" spans="7:9">
      <c r="G295" s="17"/>
      <c r="H295" s="17"/>
      <c r="I295" s="17"/>
    </row>
    <row r="296" spans="7:9">
      <c r="G296" s="17"/>
      <c r="H296" s="17"/>
      <c r="I296" s="17"/>
    </row>
    <row r="297" spans="7:9">
      <c r="G297" s="17"/>
      <c r="H297" s="17"/>
      <c r="I297" s="17"/>
    </row>
    <row r="298" spans="7:9">
      <c r="G298" s="17"/>
      <c r="H298" s="17"/>
      <c r="I298" s="17"/>
    </row>
    <row r="299" spans="7:9">
      <c r="G299" s="17"/>
      <c r="H299" s="17"/>
      <c r="I299" s="17"/>
    </row>
    <row r="300" spans="7:9">
      <c r="G300" s="17"/>
      <c r="H300" s="17"/>
      <c r="I300" s="17"/>
    </row>
    <row r="301" spans="7:9">
      <c r="G301" s="17"/>
      <c r="H301" s="17"/>
      <c r="I301" s="17"/>
    </row>
    <row r="302" spans="7:9">
      <c r="G302" s="17"/>
      <c r="H302" s="17"/>
      <c r="I302" s="17"/>
    </row>
    <row r="303" spans="7:9">
      <c r="G303" s="17"/>
      <c r="H303" s="17"/>
      <c r="I303" s="17"/>
    </row>
    <row r="304" spans="7:9">
      <c r="G304" s="17"/>
      <c r="H304" s="17"/>
      <c r="I304" s="17"/>
    </row>
    <row r="305" spans="7:9">
      <c r="G305" s="17"/>
      <c r="H305" s="17"/>
      <c r="I305" s="17"/>
    </row>
    <row r="306" spans="7:9">
      <c r="G306" s="17"/>
      <c r="H306" s="17"/>
      <c r="I306" s="17"/>
    </row>
    <row r="307" spans="7:9">
      <c r="G307" s="17"/>
      <c r="H307" s="17"/>
      <c r="I307" s="17"/>
    </row>
    <row r="308" spans="7:9">
      <c r="G308" s="17"/>
      <c r="H308" s="17"/>
      <c r="I308" s="17"/>
    </row>
    <row r="309" spans="7:9">
      <c r="G309" s="17"/>
      <c r="H309" s="17"/>
      <c r="I309" s="17"/>
    </row>
    <row r="310" spans="7:9">
      <c r="G310" s="17"/>
      <c r="H310" s="17"/>
      <c r="I310" s="17"/>
    </row>
    <row r="311" spans="7:9">
      <c r="G311" s="17"/>
      <c r="H311" s="17"/>
      <c r="I311" s="17"/>
    </row>
    <row r="312" spans="7:9">
      <c r="G312" s="17"/>
      <c r="H312" s="17"/>
      <c r="I312" s="17"/>
    </row>
    <row r="313" spans="7:9">
      <c r="G313" s="17"/>
      <c r="H313" s="17"/>
      <c r="I313" s="17"/>
    </row>
    <row r="314" spans="7:9">
      <c r="G314" s="17"/>
      <c r="H314" s="17"/>
      <c r="I314" s="17"/>
    </row>
    <row r="315" spans="7:9">
      <c r="G315" s="17"/>
      <c r="H315" s="17"/>
      <c r="I315" s="17"/>
    </row>
    <row r="316" spans="7:9">
      <c r="G316" s="17"/>
      <c r="H316" s="17"/>
      <c r="I316" s="17"/>
    </row>
    <row r="317" spans="7:9">
      <c r="G317" s="17"/>
      <c r="H317" s="17"/>
      <c r="I317" s="17"/>
    </row>
    <row r="318" spans="7:9">
      <c r="G318" s="17"/>
      <c r="H318" s="17"/>
      <c r="I318" s="17"/>
    </row>
    <row r="319" spans="7:9">
      <c r="G319" s="17"/>
      <c r="H319" s="17"/>
      <c r="I319" s="17"/>
    </row>
    <row r="320" spans="7:9">
      <c r="G320" s="17"/>
      <c r="H320" s="17"/>
      <c r="I320" s="17"/>
    </row>
    <row r="321" spans="7:9">
      <c r="G321" s="17"/>
      <c r="H321" s="17"/>
      <c r="I321" s="17"/>
    </row>
    <row r="322" spans="7:9">
      <c r="G322" s="17"/>
      <c r="H322" s="17"/>
      <c r="I322" s="17"/>
    </row>
    <row r="323" spans="7:9">
      <c r="G323" s="17"/>
      <c r="H323" s="17"/>
      <c r="I323" s="17"/>
    </row>
    <row r="324" spans="7:9">
      <c r="G324" s="17"/>
      <c r="H324" s="17"/>
      <c r="I324" s="17"/>
    </row>
    <row r="325" spans="7:9">
      <c r="G325" s="17"/>
      <c r="H325" s="17"/>
      <c r="I325" s="17"/>
    </row>
    <row r="326" spans="7:9">
      <c r="G326" s="17"/>
      <c r="H326" s="17"/>
      <c r="I326" s="17"/>
    </row>
    <row r="327" spans="7:9">
      <c r="G327" s="17"/>
      <c r="H327" s="17"/>
      <c r="I327" s="17"/>
    </row>
    <row r="328" spans="7:9">
      <c r="G328" s="17"/>
      <c r="H328" s="17"/>
      <c r="I328" s="17"/>
    </row>
    <row r="329" spans="7:9">
      <c r="G329" s="17"/>
      <c r="H329" s="17"/>
      <c r="I329" s="17"/>
    </row>
    <row r="330" spans="7:9">
      <c r="G330" s="17"/>
      <c r="H330" s="17"/>
      <c r="I330" s="17"/>
    </row>
    <row r="331" spans="7:9">
      <c r="G331" s="17"/>
      <c r="H331" s="17"/>
      <c r="I331" s="17"/>
    </row>
    <row r="332" spans="7:9">
      <c r="G332" s="17"/>
      <c r="H332" s="17"/>
      <c r="I332" s="17"/>
    </row>
    <row r="333" spans="7:9">
      <c r="G333" s="17"/>
      <c r="H333" s="17"/>
      <c r="I333" s="17"/>
    </row>
    <row r="334" spans="7:9">
      <c r="G334" s="17"/>
      <c r="H334" s="17"/>
      <c r="I334" s="17"/>
    </row>
    <row r="335" spans="7:9">
      <c r="G335" s="17"/>
      <c r="H335" s="17"/>
      <c r="I335" s="17"/>
    </row>
    <row r="336" spans="7:9">
      <c r="G336" s="17"/>
      <c r="H336" s="17"/>
      <c r="I336" s="17"/>
    </row>
    <row r="337" spans="7:9">
      <c r="G337" s="17"/>
      <c r="H337" s="17"/>
      <c r="I337" s="17"/>
    </row>
    <row r="338" spans="7:9">
      <c r="G338" s="17"/>
      <c r="H338" s="17"/>
      <c r="I338" s="17"/>
    </row>
    <row r="339" spans="7:9">
      <c r="G339" s="17"/>
      <c r="H339" s="17"/>
      <c r="I339" s="17"/>
    </row>
    <row r="340" spans="7:9">
      <c r="G340" s="17"/>
      <c r="H340" s="17"/>
      <c r="I340" s="17"/>
    </row>
    <row r="341" spans="7:9">
      <c r="G341" s="17"/>
      <c r="H341" s="17"/>
      <c r="I341" s="17"/>
    </row>
    <row r="342" spans="7:9">
      <c r="G342" s="17"/>
      <c r="H342" s="17"/>
      <c r="I342" s="17"/>
    </row>
    <row r="343" spans="7:9">
      <c r="G343" s="17"/>
      <c r="H343" s="17"/>
      <c r="I343" s="17"/>
    </row>
    <row r="344" spans="7:9">
      <c r="G344" s="17"/>
      <c r="H344" s="17"/>
      <c r="I344" s="17"/>
    </row>
    <row r="345" spans="7:9">
      <c r="G345" s="17"/>
      <c r="H345" s="17"/>
      <c r="I345" s="17"/>
    </row>
    <row r="346" spans="7:9">
      <c r="G346" s="17"/>
      <c r="H346" s="17"/>
      <c r="I346" s="17"/>
    </row>
    <row r="347" spans="7:9">
      <c r="G347" s="17"/>
      <c r="H347" s="17"/>
      <c r="I347" s="17"/>
    </row>
    <row r="348" spans="7:9">
      <c r="G348" s="17"/>
      <c r="H348" s="17"/>
      <c r="I348" s="17"/>
    </row>
    <row r="349" spans="7:9">
      <c r="G349" s="17"/>
      <c r="H349" s="17"/>
      <c r="I349" s="17"/>
    </row>
    <row r="350" spans="7:9">
      <c r="G350" s="17"/>
      <c r="H350" s="17"/>
      <c r="I350" s="17"/>
    </row>
    <row r="351" spans="7:9">
      <c r="G351" s="17"/>
      <c r="H351" s="17"/>
      <c r="I351" s="17"/>
    </row>
    <row r="352" spans="7:9">
      <c r="G352" s="17"/>
      <c r="H352" s="17"/>
      <c r="I352" s="17"/>
    </row>
    <row r="353" spans="7:9">
      <c r="G353" s="17"/>
      <c r="H353" s="17"/>
      <c r="I353" s="17"/>
    </row>
    <row r="354" spans="7:9">
      <c r="G354" s="17"/>
      <c r="H354" s="17"/>
      <c r="I354" s="17"/>
    </row>
    <row r="355" spans="7:9">
      <c r="G355" s="17"/>
      <c r="H355" s="17"/>
      <c r="I355" s="17"/>
    </row>
    <row r="356" spans="7:9">
      <c r="G356" s="17"/>
      <c r="H356" s="17"/>
      <c r="I356" s="17"/>
    </row>
    <row r="357" spans="7:9">
      <c r="G357" s="17"/>
      <c r="H357" s="17"/>
      <c r="I357" s="17"/>
    </row>
    <row r="358" spans="7:9">
      <c r="G358" s="17"/>
      <c r="H358" s="17"/>
      <c r="I358" s="17"/>
    </row>
    <row r="359" spans="7:9">
      <c r="G359" s="17"/>
      <c r="H359" s="17"/>
      <c r="I359" s="17"/>
    </row>
    <row r="360" spans="7:9">
      <c r="G360" s="17"/>
      <c r="H360" s="17"/>
      <c r="I360" s="17"/>
    </row>
    <row r="361" spans="7:9">
      <c r="G361" s="17"/>
      <c r="H361" s="17"/>
      <c r="I361" s="17"/>
    </row>
    <row r="362" spans="7:9">
      <c r="G362" s="17"/>
      <c r="H362" s="17"/>
      <c r="I362" s="17"/>
    </row>
    <row r="363" spans="7:9">
      <c r="G363" s="17"/>
      <c r="H363" s="17"/>
      <c r="I363" s="17"/>
    </row>
    <row r="364" spans="7:9">
      <c r="G364" s="17"/>
      <c r="H364" s="17"/>
      <c r="I364" s="17"/>
    </row>
    <row r="365" spans="7:9">
      <c r="G365" s="17"/>
      <c r="H365" s="17"/>
      <c r="I365" s="17"/>
    </row>
    <row r="366" spans="7:9">
      <c r="G366" s="17"/>
      <c r="H366" s="17"/>
      <c r="I366" s="17"/>
    </row>
    <row r="367" spans="7:9">
      <c r="G367" s="17"/>
      <c r="H367" s="17"/>
      <c r="I367" s="17"/>
    </row>
    <row r="368" spans="7:9">
      <c r="G368" s="17"/>
      <c r="H368" s="17"/>
      <c r="I368" s="17"/>
    </row>
    <row r="369" spans="7:9">
      <c r="G369" s="17"/>
      <c r="H369" s="17"/>
      <c r="I369" s="17"/>
    </row>
    <row r="370" spans="7:9">
      <c r="G370" s="17"/>
      <c r="H370" s="17"/>
      <c r="I370" s="17"/>
    </row>
    <row r="371" spans="7:9">
      <c r="G371" s="17"/>
      <c r="H371" s="17"/>
      <c r="I371" s="17"/>
    </row>
    <row r="372" spans="7:9">
      <c r="G372" s="17"/>
      <c r="H372" s="17"/>
      <c r="I372" s="17"/>
    </row>
    <row r="373" spans="7:9">
      <c r="G373" s="17"/>
      <c r="H373" s="17"/>
      <c r="I373" s="17"/>
    </row>
    <row r="374" spans="7:9">
      <c r="G374" s="17"/>
      <c r="H374" s="17"/>
      <c r="I374" s="17"/>
    </row>
    <row r="375" spans="7:9">
      <c r="G375" s="17"/>
      <c r="H375" s="17"/>
      <c r="I375" s="17"/>
    </row>
    <row r="376" spans="7:9">
      <c r="G376" s="17"/>
      <c r="H376" s="17"/>
      <c r="I376" s="17"/>
    </row>
    <row r="377" spans="7:9">
      <c r="G377" s="17"/>
      <c r="H377" s="17"/>
      <c r="I377" s="17"/>
    </row>
    <row r="378" spans="7:9">
      <c r="G378" s="17"/>
      <c r="H378" s="17"/>
      <c r="I378" s="17"/>
    </row>
    <row r="379" spans="7:9">
      <c r="G379" s="17"/>
      <c r="H379" s="17"/>
      <c r="I379" s="17"/>
    </row>
    <row r="380" spans="7:9">
      <c r="G380" s="17"/>
      <c r="H380" s="17"/>
      <c r="I380" s="17"/>
    </row>
    <row r="381" spans="7:9">
      <c r="G381" s="17"/>
      <c r="H381" s="17"/>
      <c r="I381" s="17"/>
    </row>
    <row r="382" spans="7:9">
      <c r="G382" s="17"/>
      <c r="H382" s="17"/>
      <c r="I382" s="17"/>
    </row>
    <row r="383" spans="7:9">
      <c r="G383" s="17"/>
      <c r="H383" s="17"/>
      <c r="I383" s="17"/>
    </row>
    <row r="384" spans="7:9">
      <c r="G384" s="17"/>
      <c r="H384" s="17"/>
      <c r="I384" s="17"/>
    </row>
    <row r="385" spans="7:9">
      <c r="G385" s="17"/>
      <c r="H385" s="17"/>
      <c r="I385" s="17"/>
    </row>
    <row r="386" spans="7:9">
      <c r="G386" s="17"/>
      <c r="H386" s="17"/>
      <c r="I386" s="17"/>
    </row>
    <row r="387" spans="7:9">
      <c r="G387" s="17"/>
      <c r="H387" s="17"/>
      <c r="I387" s="17"/>
    </row>
    <row r="388" spans="7:9">
      <c r="G388" s="17"/>
      <c r="H388" s="17"/>
      <c r="I388" s="17"/>
    </row>
    <row r="389" spans="7:9">
      <c r="G389" s="17"/>
      <c r="H389" s="17"/>
      <c r="I389" s="17"/>
    </row>
    <row r="390" spans="7:9">
      <c r="G390" s="17"/>
      <c r="H390" s="17"/>
      <c r="I390" s="17"/>
    </row>
    <row r="391" spans="7:9">
      <c r="G391" s="17"/>
      <c r="H391" s="17"/>
      <c r="I391" s="17"/>
    </row>
    <row r="392" spans="7:9">
      <c r="G392" s="17"/>
      <c r="H392" s="17"/>
      <c r="I392" s="17"/>
    </row>
    <row r="393" spans="7:9">
      <c r="G393" s="17"/>
      <c r="H393" s="17"/>
      <c r="I393" s="17"/>
    </row>
    <row r="394" spans="7:9">
      <c r="G394" s="17"/>
      <c r="H394" s="17"/>
      <c r="I394" s="17"/>
    </row>
    <row r="395" spans="7:9">
      <c r="G395" s="17"/>
      <c r="H395" s="17"/>
      <c r="I395" s="17"/>
    </row>
    <row r="396" spans="7:9">
      <c r="G396" s="17"/>
      <c r="H396" s="17"/>
      <c r="I396" s="17"/>
    </row>
    <row r="397" spans="7:9">
      <c r="G397" s="17"/>
      <c r="H397" s="17"/>
      <c r="I397" s="17"/>
    </row>
    <row r="398" spans="7:9">
      <c r="G398" s="17"/>
      <c r="H398" s="17"/>
      <c r="I398" s="17"/>
    </row>
    <row r="399" spans="7:9">
      <c r="G399" s="17"/>
      <c r="H399" s="17"/>
      <c r="I399" s="17"/>
    </row>
    <row r="400" spans="7:9">
      <c r="G400" s="17"/>
      <c r="H400" s="17"/>
      <c r="I400" s="17"/>
    </row>
    <row r="401" spans="7:9">
      <c r="G401" s="17"/>
      <c r="H401" s="17"/>
      <c r="I401" s="17"/>
    </row>
    <row r="402" spans="7:9">
      <c r="G402" s="17"/>
      <c r="H402" s="17"/>
      <c r="I402" s="17"/>
    </row>
    <row r="403" spans="7:9">
      <c r="G403" s="17"/>
      <c r="H403" s="17"/>
      <c r="I403" s="17"/>
    </row>
    <row r="404" spans="7:9">
      <c r="G404" s="17"/>
      <c r="H404" s="17"/>
      <c r="I404" s="17"/>
    </row>
    <row r="405" spans="7:9">
      <c r="G405" s="17"/>
      <c r="H405" s="17"/>
      <c r="I405" s="17"/>
    </row>
    <row r="406" spans="7:9">
      <c r="G406" s="17"/>
      <c r="H406" s="17"/>
      <c r="I406" s="17"/>
    </row>
    <row r="407" spans="7:9">
      <c r="G407" s="17"/>
      <c r="H407" s="17"/>
      <c r="I407" s="17"/>
    </row>
    <row r="408" spans="7:9">
      <c r="G408" s="17"/>
      <c r="H408" s="17"/>
      <c r="I408" s="17"/>
    </row>
    <row r="409" spans="7:9">
      <c r="G409" s="17"/>
      <c r="H409" s="17"/>
      <c r="I409" s="17"/>
    </row>
    <row r="410" spans="7:9">
      <c r="G410" s="17"/>
      <c r="H410" s="17"/>
      <c r="I410" s="17"/>
    </row>
  </sheetData>
  <mergeCells count="42">
    <mergeCell ref="A1:C1"/>
    <mergeCell ref="B3:J3"/>
    <mergeCell ref="I1:U1"/>
    <mergeCell ref="A2:U2"/>
    <mergeCell ref="K3:U3"/>
    <mergeCell ref="U5:U7"/>
    <mergeCell ref="R5:R7"/>
    <mergeCell ref="A5:A7"/>
    <mergeCell ref="B5:B7"/>
    <mergeCell ref="C5:C7"/>
    <mergeCell ref="D5:D7"/>
    <mergeCell ref="E5:F5"/>
    <mergeCell ref="E6:F6"/>
    <mergeCell ref="G5:H5"/>
    <mergeCell ref="I5:K5"/>
    <mergeCell ref="L5:N5"/>
    <mergeCell ref="O5:Q5"/>
    <mergeCell ref="B84:Q84"/>
    <mergeCell ref="B25:C25"/>
    <mergeCell ref="B92:C92"/>
    <mergeCell ref="S5:S7"/>
    <mergeCell ref="T5:T7"/>
    <mergeCell ref="B91:C91"/>
    <mergeCell ref="B85:C85"/>
    <mergeCell ref="B56:Q56"/>
    <mergeCell ref="B57:C57"/>
    <mergeCell ref="R94:U94"/>
    <mergeCell ref="A8:A9"/>
    <mergeCell ref="B8:Q8"/>
    <mergeCell ref="B9:Q9"/>
    <mergeCell ref="B10:C10"/>
    <mergeCell ref="A28:A29"/>
    <mergeCell ref="B28:Q28"/>
    <mergeCell ref="B29:Q29"/>
    <mergeCell ref="B44:C44"/>
    <mergeCell ref="B45:Q45"/>
    <mergeCell ref="B46:Q46"/>
    <mergeCell ref="B47:C47"/>
    <mergeCell ref="A55:A56"/>
    <mergeCell ref="B55:Q55"/>
    <mergeCell ref="A83:A84"/>
    <mergeCell ref="B83:Q83"/>
  </mergeCells>
  <pageMargins left="0.2" right="0.2" top="0.25" bottom="0.25" header="0.3" footer="0.3"/>
  <pageSetup paperSize="9" scale="88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EE5075D795ECBE4BB135C11914C4625F" ma:contentTypeVersion="13" ma:contentTypeDescription="Tạo tài liệu mới." ma:contentTypeScope="" ma:versionID="cd05c6c17701261ecacbee8c4330eed2">
  <xsd:schema xmlns:xsd="http://www.w3.org/2001/XMLSchema" xmlns:xs="http://www.w3.org/2001/XMLSchema" xmlns:p="http://schemas.microsoft.com/office/2006/metadata/properties" xmlns:ns2="3389744b-0e28-4912-952b-dc26646c86bb" xmlns:ns3="46fb151b-95fc-4683-8823-1f6baaed1e26" targetNamespace="http://schemas.microsoft.com/office/2006/metadata/properties" ma:root="true" ma:fieldsID="8b19dcba53658111cadcbd27c6c0d1a1" ns2:_="" ns3:_="">
    <xsd:import namespace="3389744b-0e28-4912-952b-dc26646c86bb"/>
    <xsd:import namespace="46fb151b-95fc-4683-8823-1f6baaed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9744b-0e28-4912-952b-dc26646c86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hẻ Hình ảnh" ma:readOnly="false" ma:fieldId="{5cf76f15-5ced-4ddc-b409-7134ff3c332f}" ma:taxonomyMulti="true" ma:sspId="d7facb9e-2b26-4d73-808f-93b90f4d65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b151b-95fc-4683-8823-1f6baaed1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89744b-0e28-4912-952b-dc26646c86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99F638-B60D-4BFD-A62E-5D91D2E9813D}"/>
</file>

<file path=customXml/itemProps2.xml><?xml version="1.0" encoding="utf-8"?>
<ds:datastoreItem xmlns:ds="http://schemas.openxmlformats.org/officeDocument/2006/customXml" ds:itemID="{FB74A3A3-26E0-4FD2-B11D-9DCBFB243B70}"/>
</file>

<file path=customXml/itemProps3.xml><?xml version="1.0" encoding="utf-8"?>
<ds:datastoreItem xmlns:ds="http://schemas.openxmlformats.org/officeDocument/2006/customXml" ds:itemID="{8388CF92-D69D-4D94-B91E-53D7332F8B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Pham Tien Lam</cp:lastModifiedBy>
  <cp:revision/>
  <dcterms:created xsi:type="dcterms:W3CDTF">2023-05-31T15:07:22Z</dcterms:created>
  <dcterms:modified xsi:type="dcterms:W3CDTF">2025-03-25T09:01:43Z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0x010100EE5075D795ECBE4BB135C11914C4625F</vt:lpwstr>
  </property>
  <property fmtid="{D5CDD505-2E9C-101B-9397-08002B2CF9AE}" pid="3" name="MediaServiceImageTags">
    <vt:lpwstr/>
  </property>
</Properties>
</file>